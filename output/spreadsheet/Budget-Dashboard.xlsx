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ingabe" sheetId="1" state="visible" r:id="rId1"/>
    <sheet name="DailyPlan" sheetId="2" state="hidden" r:id="rId2"/>
    <sheet name="Ansicht_Monat" sheetId="3" state="visible" r:id="rId3"/>
    <sheet name="Ansicht_Timeline" sheetId="4" state="visible" r:id="rId4"/>
    <sheet name="Ansicht_Balk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&quot; h&quot;"/>
    <numFmt numFmtId="166" formatCode="d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DBEAFE"/>
      </patternFill>
    </fill>
    <fill>
      <patternFill patternType="solid">
        <fgColor rgb="00E2E8F0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2" borderId="1" pivotButton="0" quotePrefix="0" xfId="0"/>
    <xf numFmtId="0" fontId="2" fillId="3" borderId="1" pivotButton="0" quotePrefix="0" xfId="0"/>
    <xf numFmtId="0" fontId="0" fillId="0" borderId="1" pivotButton="0" quotePrefix="0" xfId="0"/>
    <xf numFmtId="0" fontId="0" fillId="2" borderId="1" pivotButton="0" quotePrefix="0" xfId="0"/>
    <xf numFmtId="164" fontId="0" fillId="0" borderId="1" pivotButton="0" quotePrefix="0" xfId="0"/>
    <xf numFmtId="2" fontId="0" fillId="0" borderId="1" pivotButton="0" quotePrefix="0" xfId="0"/>
    <xf numFmtId="0" fontId="0" fillId="4" borderId="1" pivotButton="0" quotePrefix="0" xfId="0"/>
    <xf numFmtId="164" fontId="0" fillId="4" borderId="1" pivotButton="0" quotePrefix="0" xfId="0"/>
    <xf numFmtId="0" fontId="2" fillId="3" borderId="1" applyAlignment="1" pivotButton="0" quotePrefix="0" xfId="0">
      <alignment horizontal="center"/>
    </xf>
    <xf numFmtId="165" fontId="2" fillId="3" borderId="1" applyAlignment="1" pivotButton="0" quotePrefix="0" xfId="0">
      <alignment horizontal="center"/>
    </xf>
    <xf numFmtId="164" fontId="0" fillId="0" borderId="0" pivotButton="0" quotePrefix="0" xfId="0"/>
    <xf numFmtId="165" fontId="0" fillId="4" borderId="1" pivotButton="0" quotePrefix="0" xfId="0"/>
    <xf numFmtId="0" fontId="0" fillId="0" borderId="1" applyAlignment="1" pivotButton="0" quotePrefix="0" xfId="0">
      <alignment horizontal="left" vertical="top" wrapText="1"/>
    </xf>
    <xf numFmtId="166" fontId="0" fillId="0" borderId="1" applyAlignment="1" pivotButton="0" quotePrefix="0" xfId="0">
      <alignment horizontal="center"/>
    </xf>
  </cellXfs>
  <cellStyles count="1">
    <cellStyle name="Normal" xfId="0" builtinId="0" hidden="0"/>
  </cellStyles>
  <dxfs count="4">
    <dxf>
      <fill>
        <patternFill patternType="solid">
          <fgColor rgb="00DCFCE7"/>
        </patternFill>
      </fill>
    </dxf>
    <dxf>
      <fill>
        <patternFill patternType="solid">
          <fgColor rgb="00FEE2E2"/>
        </patternFill>
      </fill>
    </dxf>
    <dxf>
      <fill>
        <patternFill patternType="solid">
          <fgColor rgb="00F1F5F9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Monate: Geplant vs Cap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'Ansicht_Balken'!B7</f>
            </strRef>
          </tx>
          <spPr>
            <a:ln>
              <a:prstDash val="solid"/>
            </a:ln>
          </spPr>
          <cat>
            <numRef>
              <f>'Ansicht_Balken'!$A$8:$A$31</f>
            </numRef>
          </cat>
          <val>
            <numRef>
              <f>'Ansicht_Balken'!$B$8:$B$31</f>
            </numRef>
          </val>
        </ser>
        <ser>
          <idx val="1"/>
          <order val="1"/>
          <tx>
            <strRef>
              <f>'Ansicht_Balken'!C7</f>
            </strRef>
          </tx>
          <spPr>
            <a:ln>
              <a:prstDash val="solid"/>
            </a:ln>
          </spPr>
          <cat>
            <numRef>
              <f>'Ansicht_Balken'!$A$8:$A$31</f>
            </numRef>
          </cat>
          <val>
            <numRef>
              <f>'Ansicht_Balken'!$C$8:$C$31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Stunden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Sprints: Geplant vs Cap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'Ansicht_Balken'!G7</f>
            </strRef>
          </tx>
          <spPr>
            <a:ln>
              <a:prstDash val="solid"/>
            </a:ln>
          </spPr>
          <cat>
            <numRef>
              <f>'Ansicht_Balken'!$F$8:$F$47</f>
            </numRef>
          </cat>
          <val>
            <numRef>
              <f>'Ansicht_Balken'!$G$8:$G$47</f>
            </numRef>
          </val>
        </ser>
        <ser>
          <idx val="1"/>
          <order val="1"/>
          <tx>
            <strRef>
              <f>'Ansicht_Balken'!H7</f>
            </strRef>
          </tx>
          <spPr>
            <a:ln>
              <a:prstDash val="solid"/>
            </a:ln>
          </spPr>
          <cat>
            <numRef>
              <f>'Ansicht_Balken'!$F$8:$F$47</f>
            </numRef>
          </cat>
          <val>
            <numRef>
              <f>'Ansicht_Balken'!$H$8:$H$47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Sprint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Stunden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33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13</col>
      <colOff>0</colOff>
      <row>33</row>
      <rowOff>0</rowOff>
    </from>
    <ext cx="432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5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9" customWidth="1" min="3" max="3"/>
    <col width="10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  <col width="10" customWidth="1" min="10" max="10"/>
  </cols>
  <sheetData>
    <row r="1">
      <c r="A1" s="1" t="inlineStr">
        <is>
          <t>Budget/Sprint Dashboard - Eingaben</t>
        </is>
      </c>
    </row>
    <row r="3">
      <c r="A3" s="2" t="inlineStr">
        <is>
          <t>Projektstart</t>
        </is>
      </c>
      <c r="B3" s="3" t="inlineStr">
        <is>
          <t>2026-03-01</t>
        </is>
      </c>
      <c r="D3" s="2" t="inlineStr">
        <is>
          <t>Sprint-Caps</t>
        </is>
      </c>
    </row>
    <row r="4">
      <c r="A4" s="2" t="inlineStr">
        <is>
          <t>Projektende</t>
        </is>
      </c>
      <c r="B4" s="3" t="inlineStr">
        <is>
          <t>2026-05-31</t>
        </is>
      </c>
      <c r="D4" s="4" t="inlineStr">
        <is>
          <t>SprintNr</t>
        </is>
      </c>
      <c r="E4" s="4" t="inlineStr">
        <is>
          <t>Cap (h)</t>
        </is>
      </c>
    </row>
    <row r="5">
      <c r="A5" s="2" t="inlineStr">
        <is>
          <t>Start Sprint 1</t>
        </is>
      </c>
      <c r="B5" s="3" t="inlineStr">
        <is>
          <t>2026-03-01</t>
        </is>
      </c>
      <c r="D5" s="5" t="n">
        <v>1</v>
      </c>
      <c r="E5" s="6" t="n">
        <v>80</v>
      </c>
    </row>
    <row r="6">
      <c r="A6" s="2" t="inlineStr">
        <is>
          <t>Sprintlänge (Wochen)</t>
        </is>
      </c>
      <c r="B6" s="6" t="n">
        <v>3</v>
      </c>
      <c r="D6" s="5" t="n">
        <v>2</v>
      </c>
      <c r="E6" s="6" t="n">
        <v>80</v>
      </c>
    </row>
    <row r="7">
      <c r="A7" s="2" t="inlineStr">
        <is>
          <t>Gesamtbudget (h)</t>
        </is>
      </c>
      <c r="B7" s="6" t="n">
        <v>300</v>
      </c>
      <c r="D7" s="5" t="n">
        <v>3</v>
      </c>
      <c r="E7" s="6" t="n">
        <v>80</v>
      </c>
    </row>
    <row r="8">
      <c r="A8" s="2" t="inlineStr">
        <is>
          <t>Monats-Cap (h)</t>
        </is>
      </c>
      <c r="B8" s="6" t="n">
        <v>90</v>
      </c>
      <c r="D8" s="5" t="n">
        <v>4</v>
      </c>
      <c r="E8" s="6" t="n">
        <v>80</v>
      </c>
    </row>
    <row r="9">
      <c r="A9" s="2" t="inlineStr">
        <is>
          <t>Sprint-Cap Default (h)</t>
        </is>
      </c>
      <c r="B9" s="6" t="n">
        <v>80</v>
      </c>
      <c r="D9" s="5" t="n">
        <v>5</v>
      </c>
      <c r="E9" s="6" t="n">
        <v>80</v>
      </c>
    </row>
    <row r="10">
      <c r="A10" s="2" t="inlineStr">
        <is>
          <t>Monat anzeigen (1. Tag)</t>
        </is>
      </c>
      <c r="B10" s="3" t="inlineStr">
        <is>
          <t>2026-03-01</t>
        </is>
      </c>
      <c r="D10" s="5" t="n">
        <v>6</v>
      </c>
      <c r="E10" s="6" t="n">
        <v>80</v>
      </c>
    </row>
    <row r="11">
      <c r="A11" s="2" t="inlineStr">
        <is>
          <t>Ausgewählter Tag</t>
        </is>
      </c>
      <c r="B11" s="3" t="inlineStr">
        <is>
          <t>2026-03-15</t>
        </is>
      </c>
      <c r="D11" s="5" t="n">
        <v>7</v>
      </c>
      <c r="E11" s="6" t="n">
        <v>80</v>
      </c>
    </row>
    <row r="12">
      <c r="D12" s="5" t="n">
        <v>8</v>
      </c>
      <c r="E12" s="6" t="n">
        <v>80</v>
      </c>
    </row>
    <row r="13">
      <c r="D13" s="5" t="n">
        <v>9</v>
      </c>
      <c r="E13" s="6" t="n">
        <v>80</v>
      </c>
    </row>
    <row r="14">
      <c r="A14" s="2" t="inlineStr">
        <is>
          <t>Tasks</t>
        </is>
      </c>
      <c r="D14" s="5" t="n">
        <v>10</v>
      </c>
      <c r="E14" s="6" t="n">
        <v>80</v>
      </c>
    </row>
    <row r="15">
      <c r="A15" s="4" t="inlineStr">
        <is>
          <t>ID</t>
        </is>
      </c>
      <c r="B15" s="4" t="inlineStr">
        <is>
          <t>Name</t>
        </is>
      </c>
      <c r="C15" s="4" t="inlineStr">
        <is>
          <t>SprintNr</t>
        </is>
      </c>
      <c r="D15" s="4" t="inlineStr">
        <is>
          <t>Stunden</t>
        </is>
      </c>
      <c r="E15" s="4" t="inlineStr">
        <is>
          <t>SprintStart</t>
        </is>
      </c>
      <c r="F15" s="4" t="inlineStr">
        <is>
          <t>SprintEnde</t>
        </is>
      </c>
      <c r="G15" s="4" t="inlineStr">
        <is>
          <t>OverlapStart</t>
        </is>
      </c>
      <c r="H15" s="4" t="inlineStr">
        <is>
          <t>OverlapEnde</t>
        </is>
      </c>
      <c r="I15" s="4" t="inlineStr">
        <is>
          <t>Arbeitstage</t>
        </is>
      </c>
      <c r="J15" s="4" t="inlineStr">
        <is>
          <t>h/AT</t>
        </is>
      </c>
    </row>
    <row r="16">
      <c r="A16" s="6" t="inlineStr">
        <is>
          <t>t1</t>
        </is>
      </c>
      <c r="B16" s="6" t="inlineStr">
        <is>
          <t>Task A</t>
        </is>
      </c>
      <c r="C16" s="6" t="n">
        <v>1</v>
      </c>
      <c r="D16" s="6" t="n">
        <v>80</v>
      </c>
      <c r="E16" s="3">
        <f>IF(C16="","",$B$5+(C16-1)*$B$6*7)</f>
        <v/>
      </c>
      <c r="F16" s="7">
        <f>IF(E16="","",E16+$B$6*7-1)</f>
        <v/>
      </c>
      <c r="G16" s="7">
        <f>IF(E16="","",MAX(E16,$B$3))</f>
        <v/>
      </c>
      <c r="H16" s="7">
        <f>IF(E16="","",MIN(F16,$B$4))</f>
        <v/>
      </c>
      <c r="I16" s="5">
        <f>IF(OR(G16="",H16="",G16&gt;H16),0,NETWORKDAYS.INTL(G16,H16,1))</f>
        <v/>
      </c>
      <c r="J16" s="5">
        <f>IF(I16=0,0,D16/I16)</f>
        <v/>
      </c>
    </row>
    <row r="17">
      <c r="A17" s="6" t="inlineStr">
        <is>
          <t>t2</t>
        </is>
      </c>
      <c r="B17" s="6" t="inlineStr">
        <is>
          <t>Task B</t>
        </is>
      </c>
      <c r="C17" s="6" t="n">
        <v>2</v>
      </c>
      <c r="D17" s="6" t="n">
        <v>80</v>
      </c>
      <c r="E17" s="3">
        <f>IF(C17="","",$B$5+(C17-1)*$B$6*7)</f>
        <v/>
      </c>
      <c r="F17" s="7">
        <f>IF(E17="","",E17+$B$6*7-1)</f>
        <v/>
      </c>
      <c r="G17" s="7">
        <f>IF(E17="","",MAX(E17,$B$3))</f>
        <v/>
      </c>
      <c r="H17" s="7">
        <f>IF(E17="","",MIN(F17,$B$4))</f>
        <v/>
      </c>
      <c r="I17" s="5">
        <f>IF(OR(G17="",H17="",G17&gt;H17),0,NETWORKDAYS.INTL(G17,H17,1))</f>
        <v/>
      </c>
      <c r="J17" s="5">
        <f>IF(I17=0,0,D17/I17)</f>
        <v/>
      </c>
    </row>
    <row r="18">
      <c r="A18" s="6" t="inlineStr">
        <is>
          <t>t3</t>
        </is>
      </c>
      <c r="B18" s="6" t="inlineStr">
        <is>
          <t>Task C</t>
        </is>
      </c>
      <c r="C18" s="6" t="n">
        <v>3</v>
      </c>
      <c r="D18" s="6" t="n">
        <v>80</v>
      </c>
      <c r="E18" s="3">
        <f>IF(C18="","",$B$5+(C18-1)*$B$6*7)</f>
        <v/>
      </c>
      <c r="F18" s="7">
        <f>IF(E18="","",E18+$B$6*7-1)</f>
        <v/>
      </c>
      <c r="G18" s="7">
        <f>IF(E18="","",MAX(E18,$B$3))</f>
        <v/>
      </c>
      <c r="H18" s="7">
        <f>IF(E18="","",MIN(F18,$B$4))</f>
        <v/>
      </c>
      <c r="I18" s="5">
        <f>IF(OR(G18="",H18="",G18&gt;H18),0,NETWORKDAYS.INTL(G18,H18,1))</f>
        <v/>
      </c>
      <c r="J18" s="5">
        <f>IF(I18=0,0,D18/I18)</f>
        <v/>
      </c>
    </row>
    <row r="19">
      <c r="A19" s="6" t="n"/>
      <c r="B19" s="6" t="n"/>
      <c r="C19" s="6" t="n"/>
      <c r="D19" s="6" t="n">
        <v>15</v>
      </c>
      <c r="E19" s="3">
        <f>IF(C19="","",$B$5+(C19-1)*$B$6*7)</f>
        <v/>
      </c>
      <c r="F19" s="7">
        <f>IF(E19="","",E19+$B$6*7-1)</f>
        <v/>
      </c>
      <c r="G19" s="7">
        <f>IF(E19="","",MAX(E19,$B$3))</f>
        <v/>
      </c>
      <c r="H19" s="7">
        <f>IF(E19="","",MIN(F19,$B$4))</f>
        <v/>
      </c>
      <c r="I19" s="5">
        <f>IF(OR(G19="",H19="",G19&gt;H19),0,NETWORKDAYS.INTL(G19,H19,1))</f>
        <v/>
      </c>
      <c r="J19" s="5">
        <f>IF(I19=0,0,D19/I19)</f>
        <v/>
      </c>
    </row>
    <row r="20">
      <c r="A20" s="6" t="n"/>
      <c r="B20" s="6" t="n"/>
      <c r="C20" s="6" t="n"/>
      <c r="D20" s="6" t="n">
        <v>16</v>
      </c>
      <c r="E20" s="3">
        <f>IF(C20="","",$B$5+(C20-1)*$B$6*7)</f>
        <v/>
      </c>
      <c r="F20" s="7">
        <f>IF(E20="","",E20+$B$6*7-1)</f>
        <v/>
      </c>
      <c r="G20" s="7">
        <f>IF(E20="","",MAX(E20,$B$3))</f>
        <v/>
      </c>
      <c r="H20" s="7">
        <f>IF(E20="","",MIN(F20,$B$4))</f>
        <v/>
      </c>
      <c r="I20" s="5">
        <f>IF(OR(G20="",H20="",G20&gt;H20),0,NETWORKDAYS.INTL(G20,H20,1))</f>
        <v/>
      </c>
      <c r="J20" s="5">
        <f>IF(I20=0,0,D20/I20)</f>
        <v/>
      </c>
    </row>
    <row r="21">
      <c r="A21" s="6" t="n"/>
      <c r="B21" s="6" t="n"/>
      <c r="C21" s="6" t="n"/>
      <c r="D21" s="6" t="n">
        <v>17</v>
      </c>
      <c r="E21" s="3">
        <f>IF(C21="","",$B$5+(C21-1)*$B$6*7)</f>
        <v/>
      </c>
      <c r="F21" s="7">
        <f>IF(E21="","",E21+$B$6*7-1)</f>
        <v/>
      </c>
      <c r="G21" s="7">
        <f>IF(E21="","",MAX(E21,$B$3))</f>
        <v/>
      </c>
      <c r="H21" s="7">
        <f>IF(E21="","",MIN(F21,$B$4))</f>
        <v/>
      </c>
      <c r="I21" s="5">
        <f>IF(OR(G21="",H21="",G21&gt;H21),0,NETWORKDAYS.INTL(G21,H21,1))</f>
        <v/>
      </c>
      <c r="J21" s="5">
        <f>IF(I21=0,0,D21/I21)</f>
        <v/>
      </c>
    </row>
    <row r="22">
      <c r="A22" s="6" t="n"/>
      <c r="B22" s="6" t="n"/>
      <c r="C22" s="6" t="n"/>
      <c r="D22" s="6" t="n">
        <v>18</v>
      </c>
      <c r="E22" s="3">
        <f>IF(C22="","",$B$5+(C22-1)*$B$6*7)</f>
        <v/>
      </c>
      <c r="F22" s="7">
        <f>IF(E22="","",E22+$B$6*7-1)</f>
        <v/>
      </c>
      <c r="G22" s="7">
        <f>IF(E22="","",MAX(E22,$B$3))</f>
        <v/>
      </c>
      <c r="H22" s="7">
        <f>IF(E22="","",MIN(F22,$B$4))</f>
        <v/>
      </c>
      <c r="I22" s="5">
        <f>IF(OR(G22="",H22="",G22&gt;H22),0,NETWORKDAYS.INTL(G22,H22,1))</f>
        <v/>
      </c>
      <c r="J22" s="5">
        <f>IF(I22=0,0,D22/I22)</f>
        <v/>
      </c>
    </row>
    <row r="23">
      <c r="A23" s="6" t="n"/>
      <c r="B23" s="6" t="n"/>
      <c r="C23" s="6" t="n"/>
      <c r="D23" s="6" t="n">
        <v>19</v>
      </c>
      <c r="E23" s="3">
        <f>IF(C23="","",$B$5+(C23-1)*$B$6*7)</f>
        <v/>
      </c>
      <c r="F23" s="7">
        <f>IF(E23="","",E23+$B$6*7-1)</f>
        <v/>
      </c>
      <c r="G23" s="7">
        <f>IF(E23="","",MAX(E23,$B$3))</f>
        <v/>
      </c>
      <c r="H23" s="7">
        <f>IF(E23="","",MIN(F23,$B$4))</f>
        <v/>
      </c>
      <c r="I23" s="5">
        <f>IF(OR(G23="",H23="",G23&gt;H23),0,NETWORKDAYS.INTL(G23,H23,1))</f>
        <v/>
      </c>
      <c r="J23" s="5">
        <f>IF(I23=0,0,D23/I23)</f>
        <v/>
      </c>
    </row>
    <row r="24">
      <c r="A24" s="6" t="n"/>
      <c r="B24" s="6" t="n"/>
      <c r="C24" s="6" t="n"/>
      <c r="D24" s="6" t="n">
        <v>20</v>
      </c>
      <c r="E24" s="3">
        <f>IF(C24="","",$B$5+(C24-1)*$B$6*7)</f>
        <v/>
      </c>
      <c r="F24" s="7">
        <f>IF(E24="","",E24+$B$6*7-1)</f>
        <v/>
      </c>
      <c r="G24" s="7">
        <f>IF(E24="","",MAX(E24,$B$3))</f>
        <v/>
      </c>
      <c r="H24" s="7">
        <f>IF(E24="","",MIN(F24,$B$4))</f>
        <v/>
      </c>
      <c r="I24" s="5">
        <f>IF(OR(G24="",H24="",G24&gt;H24),0,NETWORKDAYS.INTL(G24,H24,1))</f>
        <v/>
      </c>
      <c r="J24" s="5">
        <f>IF(I24=0,0,D24/I24)</f>
        <v/>
      </c>
    </row>
    <row r="25">
      <c r="A25" s="6" t="n"/>
      <c r="B25" s="6" t="n"/>
      <c r="C25" s="6" t="n"/>
      <c r="D25" s="6" t="n">
        <v>21</v>
      </c>
      <c r="E25" s="3">
        <f>IF(C25="","",$B$5+(C25-1)*$B$6*7)</f>
        <v/>
      </c>
      <c r="F25" s="7">
        <f>IF(E25="","",E25+$B$6*7-1)</f>
        <v/>
      </c>
      <c r="G25" s="7">
        <f>IF(E25="","",MAX(E25,$B$3))</f>
        <v/>
      </c>
      <c r="H25" s="7">
        <f>IF(E25="","",MIN(F25,$B$4))</f>
        <v/>
      </c>
      <c r="I25" s="5">
        <f>IF(OR(G25="",H25="",G25&gt;H25),0,NETWORKDAYS.INTL(G25,H25,1))</f>
        <v/>
      </c>
      <c r="J25" s="5">
        <f>IF(I25=0,0,D25/I25)</f>
        <v/>
      </c>
    </row>
    <row r="26">
      <c r="A26" s="6" t="n"/>
      <c r="B26" s="6" t="n"/>
      <c r="C26" s="6" t="n"/>
      <c r="D26" s="6" t="n">
        <v>22</v>
      </c>
      <c r="E26" s="3">
        <f>IF(C26="","",$B$5+(C26-1)*$B$6*7)</f>
        <v/>
      </c>
      <c r="F26" s="7">
        <f>IF(E26="","",E26+$B$6*7-1)</f>
        <v/>
      </c>
      <c r="G26" s="7">
        <f>IF(E26="","",MAX(E26,$B$3))</f>
        <v/>
      </c>
      <c r="H26" s="7">
        <f>IF(E26="","",MIN(F26,$B$4))</f>
        <v/>
      </c>
      <c r="I26" s="5">
        <f>IF(OR(G26="",H26="",G26&gt;H26),0,NETWORKDAYS.INTL(G26,H26,1))</f>
        <v/>
      </c>
      <c r="J26" s="5">
        <f>IF(I26=0,0,D26/I26)</f>
        <v/>
      </c>
    </row>
    <row r="27">
      <c r="A27" s="6" t="n"/>
      <c r="B27" s="6" t="n"/>
      <c r="C27" s="6" t="n"/>
      <c r="D27" s="6" t="n">
        <v>23</v>
      </c>
      <c r="E27" s="3">
        <f>IF(C27="","",$B$5+(C27-1)*$B$6*7)</f>
        <v/>
      </c>
      <c r="F27" s="7">
        <f>IF(E27="","",E27+$B$6*7-1)</f>
        <v/>
      </c>
      <c r="G27" s="7">
        <f>IF(E27="","",MAX(E27,$B$3))</f>
        <v/>
      </c>
      <c r="H27" s="7">
        <f>IF(E27="","",MIN(F27,$B$4))</f>
        <v/>
      </c>
      <c r="I27" s="5">
        <f>IF(OR(G27="",H27="",G27&gt;H27),0,NETWORKDAYS.INTL(G27,H27,1))</f>
        <v/>
      </c>
      <c r="J27" s="5">
        <f>IF(I27=0,0,D27/I27)</f>
        <v/>
      </c>
    </row>
    <row r="28">
      <c r="A28" s="6" t="n"/>
      <c r="B28" s="6" t="n"/>
      <c r="C28" s="6" t="n"/>
      <c r="D28" s="6" t="n">
        <v>24</v>
      </c>
      <c r="E28" s="3">
        <f>IF(C28="","",$B$5+(C28-1)*$B$6*7)</f>
        <v/>
      </c>
      <c r="F28" s="7">
        <f>IF(E28="","",E28+$B$6*7-1)</f>
        <v/>
      </c>
      <c r="G28" s="7">
        <f>IF(E28="","",MAX(E28,$B$3))</f>
        <v/>
      </c>
      <c r="H28" s="7">
        <f>IF(E28="","",MIN(F28,$B$4))</f>
        <v/>
      </c>
      <c r="I28" s="5">
        <f>IF(OR(G28="",H28="",G28&gt;H28),0,NETWORKDAYS.INTL(G28,H28,1))</f>
        <v/>
      </c>
      <c r="J28" s="5">
        <f>IF(I28=0,0,D28/I28)</f>
        <v/>
      </c>
    </row>
    <row r="29">
      <c r="A29" s="6" t="n"/>
      <c r="B29" s="6" t="n"/>
      <c r="C29" s="6" t="n"/>
      <c r="D29" s="6" t="n">
        <v>25</v>
      </c>
      <c r="E29" s="3">
        <f>IF(C29="","",$B$5+(C29-1)*$B$6*7)</f>
        <v/>
      </c>
      <c r="F29" s="7">
        <f>IF(E29="","",E29+$B$6*7-1)</f>
        <v/>
      </c>
      <c r="G29" s="7">
        <f>IF(E29="","",MAX(E29,$B$3))</f>
        <v/>
      </c>
      <c r="H29" s="7">
        <f>IF(E29="","",MIN(F29,$B$4))</f>
        <v/>
      </c>
      <c r="I29" s="5">
        <f>IF(OR(G29="",H29="",G29&gt;H29),0,NETWORKDAYS.INTL(G29,H29,1))</f>
        <v/>
      </c>
      <c r="J29" s="5">
        <f>IF(I29=0,0,D29/I29)</f>
        <v/>
      </c>
    </row>
    <row r="30">
      <c r="A30" s="6" t="n"/>
      <c r="B30" s="6" t="n"/>
      <c r="C30" s="6" t="n"/>
      <c r="D30" s="6" t="n">
        <v>26</v>
      </c>
      <c r="E30" s="3">
        <f>IF(C30="","",$B$5+(C30-1)*$B$6*7)</f>
        <v/>
      </c>
      <c r="F30" s="7">
        <f>IF(E30="","",E30+$B$6*7-1)</f>
        <v/>
      </c>
      <c r="G30" s="7">
        <f>IF(E30="","",MAX(E30,$B$3))</f>
        <v/>
      </c>
      <c r="H30" s="7">
        <f>IF(E30="","",MIN(F30,$B$4))</f>
        <v/>
      </c>
      <c r="I30" s="5">
        <f>IF(OR(G30="",H30="",G30&gt;H30),0,NETWORKDAYS.INTL(G30,H30,1))</f>
        <v/>
      </c>
      <c r="J30" s="5">
        <f>IF(I30=0,0,D30/I30)</f>
        <v/>
      </c>
    </row>
    <row r="31">
      <c r="A31" s="6" t="n"/>
      <c r="B31" s="6" t="n"/>
      <c r="C31" s="6" t="n"/>
      <c r="D31" s="6" t="n">
        <v>27</v>
      </c>
      <c r="E31" s="3">
        <f>IF(C31="","",$B$5+(C31-1)*$B$6*7)</f>
        <v/>
      </c>
      <c r="F31" s="7">
        <f>IF(E31="","",E31+$B$6*7-1)</f>
        <v/>
      </c>
      <c r="G31" s="7">
        <f>IF(E31="","",MAX(E31,$B$3))</f>
        <v/>
      </c>
      <c r="H31" s="7">
        <f>IF(E31="","",MIN(F31,$B$4))</f>
        <v/>
      </c>
      <c r="I31" s="5">
        <f>IF(OR(G31="",H31="",G31&gt;H31),0,NETWORKDAYS.INTL(G31,H31,1))</f>
        <v/>
      </c>
      <c r="J31" s="5">
        <f>IF(I31=0,0,D31/I31)</f>
        <v/>
      </c>
    </row>
    <row r="32">
      <c r="A32" s="6" t="n"/>
      <c r="B32" s="6" t="n"/>
      <c r="C32" s="6" t="n"/>
      <c r="D32" s="6" t="n">
        <v>28</v>
      </c>
      <c r="E32" s="3">
        <f>IF(C32="","",$B$5+(C32-1)*$B$6*7)</f>
        <v/>
      </c>
      <c r="F32" s="7">
        <f>IF(E32="","",E32+$B$6*7-1)</f>
        <v/>
      </c>
      <c r="G32" s="7">
        <f>IF(E32="","",MAX(E32,$B$3))</f>
        <v/>
      </c>
      <c r="H32" s="7">
        <f>IF(E32="","",MIN(F32,$B$4))</f>
        <v/>
      </c>
      <c r="I32" s="5">
        <f>IF(OR(G32="",H32="",G32&gt;H32),0,NETWORKDAYS.INTL(G32,H32,1))</f>
        <v/>
      </c>
      <c r="J32" s="5">
        <f>IF(I32=0,0,D32/I32)</f>
        <v/>
      </c>
    </row>
    <row r="33">
      <c r="A33" s="6" t="n"/>
      <c r="B33" s="6" t="n"/>
      <c r="C33" s="6" t="n"/>
      <c r="D33" s="6" t="n">
        <v>29</v>
      </c>
      <c r="E33" s="3">
        <f>IF(C33="","",$B$5+(C33-1)*$B$6*7)</f>
        <v/>
      </c>
      <c r="F33" s="7">
        <f>IF(E33="","",E33+$B$6*7-1)</f>
        <v/>
      </c>
      <c r="G33" s="7">
        <f>IF(E33="","",MAX(E33,$B$3))</f>
        <v/>
      </c>
      <c r="H33" s="7">
        <f>IF(E33="","",MIN(F33,$B$4))</f>
        <v/>
      </c>
      <c r="I33" s="5">
        <f>IF(OR(G33="",H33="",G33&gt;H33),0,NETWORKDAYS.INTL(G33,H33,1))</f>
        <v/>
      </c>
      <c r="J33" s="5">
        <f>IF(I33=0,0,D33/I33)</f>
        <v/>
      </c>
    </row>
    <row r="34">
      <c r="A34" s="6" t="n"/>
      <c r="B34" s="6" t="n"/>
      <c r="C34" s="6" t="n"/>
      <c r="D34" s="6" t="n">
        <v>30</v>
      </c>
      <c r="E34" s="3">
        <f>IF(C34="","",$B$5+(C34-1)*$B$6*7)</f>
        <v/>
      </c>
      <c r="F34" s="7">
        <f>IF(E34="","",E34+$B$6*7-1)</f>
        <v/>
      </c>
      <c r="G34" s="7">
        <f>IF(E34="","",MAX(E34,$B$3))</f>
        <v/>
      </c>
      <c r="H34" s="7">
        <f>IF(E34="","",MIN(F34,$B$4))</f>
        <v/>
      </c>
      <c r="I34" s="5">
        <f>IF(OR(G34="",H34="",G34&gt;H34),0,NETWORKDAYS.INTL(G34,H34,1))</f>
        <v/>
      </c>
      <c r="J34" s="5">
        <f>IF(I34=0,0,D34/I34)</f>
        <v/>
      </c>
    </row>
    <row r="35">
      <c r="A35" s="6" t="n"/>
      <c r="B35" s="6" t="n"/>
      <c r="C35" s="6" t="n"/>
      <c r="D35" s="6" t="n">
        <v>31</v>
      </c>
      <c r="E35" s="3">
        <f>IF(C35="","",$B$5+(C35-1)*$B$6*7)</f>
        <v/>
      </c>
      <c r="F35" s="7">
        <f>IF(E35="","",E35+$B$6*7-1)</f>
        <v/>
      </c>
      <c r="G35" s="7">
        <f>IF(E35="","",MAX(E35,$B$3))</f>
        <v/>
      </c>
      <c r="H35" s="7">
        <f>IF(E35="","",MIN(F35,$B$4))</f>
        <v/>
      </c>
      <c r="I35" s="5">
        <f>IF(OR(G35="",H35="",G35&gt;H35),0,NETWORKDAYS.INTL(G35,H35,1))</f>
        <v/>
      </c>
      <c r="J35" s="5">
        <f>IF(I35=0,0,D35/I35)</f>
        <v/>
      </c>
    </row>
    <row r="36">
      <c r="A36" s="6" t="n"/>
      <c r="B36" s="6" t="n"/>
      <c r="C36" s="6" t="n"/>
      <c r="D36" s="6" t="n">
        <v>32</v>
      </c>
      <c r="E36" s="3">
        <f>IF(C36="","",$B$5+(C36-1)*$B$6*7)</f>
        <v/>
      </c>
      <c r="F36" s="7">
        <f>IF(E36="","",E36+$B$6*7-1)</f>
        <v/>
      </c>
      <c r="G36" s="7">
        <f>IF(E36="","",MAX(E36,$B$3))</f>
        <v/>
      </c>
      <c r="H36" s="7">
        <f>IF(E36="","",MIN(F36,$B$4))</f>
        <v/>
      </c>
      <c r="I36" s="5">
        <f>IF(OR(G36="",H36="",G36&gt;H36),0,NETWORKDAYS.INTL(G36,H36,1))</f>
        <v/>
      </c>
      <c r="J36" s="5">
        <f>IF(I36=0,0,D36/I36)</f>
        <v/>
      </c>
    </row>
    <row r="37">
      <c r="A37" s="6" t="n"/>
      <c r="B37" s="6" t="n"/>
      <c r="C37" s="6" t="n"/>
      <c r="D37" s="6" t="n">
        <v>33</v>
      </c>
      <c r="E37" s="3">
        <f>IF(C37="","",$B$5+(C37-1)*$B$6*7)</f>
        <v/>
      </c>
      <c r="F37" s="7">
        <f>IF(E37="","",E37+$B$6*7-1)</f>
        <v/>
      </c>
      <c r="G37" s="7">
        <f>IF(E37="","",MAX(E37,$B$3))</f>
        <v/>
      </c>
      <c r="H37" s="7">
        <f>IF(E37="","",MIN(F37,$B$4))</f>
        <v/>
      </c>
      <c r="I37" s="5">
        <f>IF(OR(G37="",H37="",G37&gt;H37),0,NETWORKDAYS.INTL(G37,H37,1))</f>
        <v/>
      </c>
      <c r="J37" s="5">
        <f>IF(I37=0,0,D37/I37)</f>
        <v/>
      </c>
    </row>
    <row r="38">
      <c r="A38" s="6" t="n"/>
      <c r="B38" s="6" t="n"/>
      <c r="C38" s="6" t="n"/>
      <c r="D38" s="6" t="n">
        <v>34</v>
      </c>
      <c r="E38" s="3">
        <f>IF(C38="","",$B$5+(C38-1)*$B$6*7)</f>
        <v/>
      </c>
      <c r="F38" s="7">
        <f>IF(E38="","",E38+$B$6*7-1)</f>
        <v/>
      </c>
      <c r="G38" s="7">
        <f>IF(E38="","",MAX(E38,$B$3))</f>
        <v/>
      </c>
      <c r="H38" s="7">
        <f>IF(E38="","",MIN(F38,$B$4))</f>
        <v/>
      </c>
      <c r="I38" s="5">
        <f>IF(OR(G38="",H38="",G38&gt;H38),0,NETWORKDAYS.INTL(G38,H38,1))</f>
        <v/>
      </c>
      <c r="J38" s="5">
        <f>IF(I38=0,0,D38/I38)</f>
        <v/>
      </c>
    </row>
    <row r="39">
      <c r="A39" s="6" t="n"/>
      <c r="B39" s="6" t="n"/>
      <c r="C39" s="6" t="n"/>
      <c r="D39" s="6" t="n">
        <v>35</v>
      </c>
      <c r="E39" s="3">
        <f>IF(C39="","",$B$5+(C39-1)*$B$6*7)</f>
        <v/>
      </c>
      <c r="F39" s="7">
        <f>IF(E39="","",E39+$B$6*7-1)</f>
        <v/>
      </c>
      <c r="G39" s="7">
        <f>IF(E39="","",MAX(E39,$B$3))</f>
        <v/>
      </c>
      <c r="H39" s="7">
        <f>IF(E39="","",MIN(F39,$B$4))</f>
        <v/>
      </c>
      <c r="I39" s="5">
        <f>IF(OR(G39="",H39="",G39&gt;H39),0,NETWORKDAYS.INTL(G39,H39,1))</f>
        <v/>
      </c>
      <c r="J39" s="5">
        <f>IF(I39=0,0,D39/I39)</f>
        <v/>
      </c>
    </row>
    <row r="40">
      <c r="A40" s="6" t="n"/>
      <c r="B40" s="6" t="n"/>
      <c r="C40" s="6" t="n"/>
      <c r="D40" s="6" t="n">
        <v>36</v>
      </c>
      <c r="E40" s="3">
        <f>IF(C40="","",$B$5+(C40-1)*$B$6*7)</f>
        <v/>
      </c>
      <c r="F40" s="7">
        <f>IF(E40="","",E40+$B$6*7-1)</f>
        <v/>
      </c>
      <c r="G40" s="7">
        <f>IF(E40="","",MAX(E40,$B$3))</f>
        <v/>
      </c>
      <c r="H40" s="7">
        <f>IF(E40="","",MIN(F40,$B$4))</f>
        <v/>
      </c>
      <c r="I40" s="5">
        <f>IF(OR(G40="",H40="",G40&gt;H40),0,NETWORKDAYS.INTL(G40,H40,1))</f>
        <v/>
      </c>
      <c r="J40" s="5">
        <f>IF(I40=0,0,D40/I40)</f>
        <v/>
      </c>
    </row>
    <row r="41">
      <c r="A41" s="6" t="n"/>
      <c r="B41" s="6" t="n"/>
      <c r="C41" s="6" t="n"/>
      <c r="D41" s="6" t="n">
        <v>37</v>
      </c>
      <c r="E41" s="3">
        <f>IF(C41="","",$B$5+(C41-1)*$B$6*7)</f>
        <v/>
      </c>
      <c r="F41" s="7">
        <f>IF(E41="","",E41+$B$6*7-1)</f>
        <v/>
      </c>
      <c r="G41" s="7">
        <f>IF(E41="","",MAX(E41,$B$3))</f>
        <v/>
      </c>
      <c r="H41" s="7">
        <f>IF(E41="","",MIN(F41,$B$4))</f>
        <v/>
      </c>
      <c r="I41" s="5">
        <f>IF(OR(G41="",H41="",G41&gt;H41),0,NETWORKDAYS.INTL(G41,H41,1))</f>
        <v/>
      </c>
      <c r="J41" s="5">
        <f>IF(I41=0,0,D41/I41)</f>
        <v/>
      </c>
    </row>
    <row r="42">
      <c r="A42" s="6" t="n"/>
      <c r="B42" s="6" t="n"/>
      <c r="C42" s="6" t="n"/>
      <c r="D42" s="6" t="n">
        <v>38</v>
      </c>
      <c r="E42" s="3">
        <f>IF(C42="","",$B$5+(C42-1)*$B$6*7)</f>
        <v/>
      </c>
      <c r="F42" s="7">
        <f>IF(E42="","",E42+$B$6*7-1)</f>
        <v/>
      </c>
      <c r="G42" s="7">
        <f>IF(E42="","",MAX(E42,$B$3))</f>
        <v/>
      </c>
      <c r="H42" s="7">
        <f>IF(E42="","",MIN(F42,$B$4))</f>
        <v/>
      </c>
      <c r="I42" s="5">
        <f>IF(OR(G42="",H42="",G42&gt;H42),0,NETWORKDAYS.INTL(G42,H42,1))</f>
        <v/>
      </c>
      <c r="J42" s="5">
        <f>IF(I42=0,0,D42/I42)</f>
        <v/>
      </c>
    </row>
    <row r="43">
      <c r="A43" s="6" t="n"/>
      <c r="B43" s="6" t="n"/>
      <c r="C43" s="6" t="n"/>
      <c r="D43" s="6" t="n">
        <v>39</v>
      </c>
      <c r="E43" s="3">
        <f>IF(C43="","",$B$5+(C43-1)*$B$6*7)</f>
        <v/>
      </c>
      <c r="F43" s="7">
        <f>IF(E43="","",E43+$B$6*7-1)</f>
        <v/>
      </c>
      <c r="G43" s="7">
        <f>IF(E43="","",MAX(E43,$B$3))</f>
        <v/>
      </c>
      <c r="H43" s="7">
        <f>IF(E43="","",MIN(F43,$B$4))</f>
        <v/>
      </c>
      <c r="I43" s="5">
        <f>IF(OR(G43="",H43="",G43&gt;H43),0,NETWORKDAYS.INTL(G43,H43,1))</f>
        <v/>
      </c>
      <c r="J43" s="5">
        <f>IF(I43=0,0,D43/I43)</f>
        <v/>
      </c>
    </row>
    <row r="44">
      <c r="A44" s="6" t="n"/>
      <c r="B44" s="6" t="n"/>
      <c r="C44" s="6" t="n"/>
      <c r="D44" s="6" t="n">
        <v>40</v>
      </c>
      <c r="E44" s="3">
        <f>IF(C44="","",$B$5+(C44-1)*$B$6*7)</f>
        <v/>
      </c>
      <c r="F44" s="7">
        <f>IF(E44="","",E44+$B$6*7-1)</f>
        <v/>
      </c>
      <c r="G44" s="7">
        <f>IF(E44="","",MAX(E44,$B$3))</f>
        <v/>
      </c>
      <c r="H44" s="7">
        <f>IF(E44="","",MIN(F44,$B$4))</f>
        <v/>
      </c>
      <c r="I44" s="5">
        <f>IF(OR(G44="",H44="",G44&gt;H44),0,NETWORKDAYS.INTL(G44,H44,1))</f>
        <v/>
      </c>
      <c r="J44" s="5">
        <f>IF(I44=0,0,D44/I44)</f>
        <v/>
      </c>
    </row>
    <row r="45">
      <c r="A45" s="6" t="n"/>
      <c r="B45" s="6" t="n"/>
      <c r="C45" s="6" t="n"/>
      <c r="D45" s="6" t="n"/>
      <c r="E45" s="7">
        <f>IF(C45="","",$B$5+(C45-1)*$B$6*7)</f>
        <v/>
      </c>
      <c r="F45" s="7">
        <f>IF(E45="","",E45+$B$6*7-1)</f>
        <v/>
      </c>
      <c r="G45" s="7">
        <f>IF(E45="","",MAX(E45,$B$3))</f>
        <v/>
      </c>
      <c r="H45" s="7">
        <f>IF(E45="","",MIN(F45,$B$4))</f>
        <v/>
      </c>
      <c r="I45" s="5">
        <f>IF(OR(G45="",H45="",G45&gt;H45),0,NETWORKDAYS.INTL(G45,H45,1))</f>
        <v/>
      </c>
      <c r="J45" s="5">
        <f>IF(I45=0,0,D45/I45)</f>
        <v/>
      </c>
    </row>
    <row r="46">
      <c r="A46" s="6" t="n"/>
      <c r="B46" s="6" t="n"/>
      <c r="C46" s="6" t="n"/>
      <c r="D46" s="6" t="n"/>
      <c r="E46" s="7">
        <f>IF(C46="","",$B$5+(C46-1)*$B$6*7)</f>
        <v/>
      </c>
      <c r="F46" s="7">
        <f>IF(E46="","",E46+$B$6*7-1)</f>
        <v/>
      </c>
      <c r="G46" s="7">
        <f>IF(E46="","",MAX(E46,$B$3))</f>
        <v/>
      </c>
      <c r="H46" s="7">
        <f>IF(E46="","",MIN(F46,$B$4))</f>
        <v/>
      </c>
      <c r="I46" s="5">
        <f>IF(OR(G46="",H46="",G46&gt;H46),0,NETWORKDAYS.INTL(G46,H46,1))</f>
        <v/>
      </c>
      <c r="J46" s="5">
        <f>IF(I46=0,0,D46/I46)</f>
        <v/>
      </c>
    </row>
    <row r="47">
      <c r="A47" s="6" t="n"/>
      <c r="B47" s="6" t="n"/>
      <c r="C47" s="6" t="n"/>
      <c r="D47" s="6" t="n"/>
      <c r="E47" s="7">
        <f>IF(C47="","",$B$5+(C47-1)*$B$6*7)</f>
        <v/>
      </c>
      <c r="F47" s="7">
        <f>IF(E47="","",E47+$B$6*7-1)</f>
        <v/>
      </c>
      <c r="G47" s="7">
        <f>IF(E47="","",MAX(E47,$B$3))</f>
        <v/>
      </c>
      <c r="H47" s="7">
        <f>IF(E47="","",MIN(F47,$B$4))</f>
        <v/>
      </c>
      <c r="I47" s="5">
        <f>IF(OR(G47="",H47="",G47&gt;H47),0,NETWORKDAYS.INTL(G47,H47,1))</f>
        <v/>
      </c>
      <c r="J47" s="5">
        <f>IF(I47=0,0,D47/I47)</f>
        <v/>
      </c>
    </row>
    <row r="48">
      <c r="A48" s="6" t="n"/>
      <c r="B48" s="6" t="n"/>
      <c r="C48" s="6" t="n"/>
      <c r="D48" s="6" t="n"/>
      <c r="E48" s="7">
        <f>IF(C48="","",$B$5+(C48-1)*$B$6*7)</f>
        <v/>
      </c>
      <c r="F48" s="7">
        <f>IF(E48="","",E48+$B$6*7-1)</f>
        <v/>
      </c>
      <c r="G48" s="7">
        <f>IF(E48="","",MAX(E48,$B$3))</f>
        <v/>
      </c>
      <c r="H48" s="7">
        <f>IF(E48="","",MIN(F48,$B$4))</f>
        <v/>
      </c>
      <c r="I48" s="5">
        <f>IF(OR(G48="",H48="",G48&gt;H48),0,NETWORKDAYS.INTL(G48,H48,1))</f>
        <v/>
      </c>
      <c r="J48" s="5">
        <f>IF(I48=0,0,D48/I48)</f>
        <v/>
      </c>
    </row>
    <row r="49">
      <c r="A49" s="6" t="n"/>
      <c r="B49" s="6" t="n"/>
      <c r="C49" s="6" t="n"/>
      <c r="D49" s="6" t="n"/>
      <c r="E49" s="7">
        <f>IF(C49="","",$B$5+(C49-1)*$B$6*7)</f>
        <v/>
      </c>
      <c r="F49" s="7">
        <f>IF(E49="","",E49+$B$6*7-1)</f>
        <v/>
      </c>
      <c r="G49" s="7">
        <f>IF(E49="","",MAX(E49,$B$3))</f>
        <v/>
      </c>
      <c r="H49" s="7">
        <f>IF(E49="","",MIN(F49,$B$4))</f>
        <v/>
      </c>
      <c r="I49" s="5">
        <f>IF(OR(G49="",H49="",G49&gt;H49),0,NETWORKDAYS.INTL(G49,H49,1))</f>
        <v/>
      </c>
      <c r="J49" s="5">
        <f>IF(I49=0,0,D49/I49)</f>
        <v/>
      </c>
    </row>
    <row r="50">
      <c r="A50" s="6" t="n"/>
      <c r="B50" s="6" t="n"/>
      <c r="C50" s="6" t="n"/>
      <c r="D50" s="6" t="n"/>
      <c r="E50" s="7">
        <f>IF(C50="","",$B$5+(C50-1)*$B$6*7)</f>
        <v/>
      </c>
      <c r="F50" s="7">
        <f>IF(E50="","",E50+$B$6*7-1)</f>
        <v/>
      </c>
      <c r="G50" s="7">
        <f>IF(E50="","",MAX(E50,$B$3))</f>
        <v/>
      </c>
      <c r="H50" s="7">
        <f>IF(E50="","",MIN(F50,$B$4))</f>
        <v/>
      </c>
      <c r="I50" s="5">
        <f>IF(OR(G50="",H50="",G50&gt;H50),0,NETWORKDAYS.INTL(G50,H50,1))</f>
        <v/>
      </c>
      <c r="J50" s="5">
        <f>IF(I50=0,0,D50/I50)</f>
        <v/>
      </c>
    </row>
    <row r="51">
      <c r="A51" s="6" t="n"/>
      <c r="B51" s="6" t="n"/>
      <c r="C51" s="6" t="n"/>
      <c r="D51" s="6" t="n"/>
      <c r="E51" s="7">
        <f>IF(C51="","",$B$5+(C51-1)*$B$6*7)</f>
        <v/>
      </c>
      <c r="F51" s="7">
        <f>IF(E51="","",E51+$B$6*7-1)</f>
        <v/>
      </c>
      <c r="G51" s="7">
        <f>IF(E51="","",MAX(E51,$B$3))</f>
        <v/>
      </c>
      <c r="H51" s="7">
        <f>IF(E51="","",MIN(F51,$B$4))</f>
        <v/>
      </c>
      <c r="I51" s="5">
        <f>IF(OR(G51="",H51="",G51&gt;H51),0,NETWORKDAYS.INTL(G51,H51,1))</f>
        <v/>
      </c>
      <c r="J51" s="5">
        <f>IF(I51=0,0,D51/I51)</f>
        <v/>
      </c>
    </row>
    <row r="52">
      <c r="A52" s="6" t="n"/>
      <c r="B52" s="6" t="n"/>
      <c r="C52" s="6" t="n"/>
      <c r="D52" s="6" t="n"/>
      <c r="E52" s="7">
        <f>IF(C52="","",$B$5+(C52-1)*$B$6*7)</f>
        <v/>
      </c>
      <c r="F52" s="7">
        <f>IF(E52="","",E52+$B$6*7-1)</f>
        <v/>
      </c>
      <c r="G52" s="7">
        <f>IF(E52="","",MAX(E52,$B$3))</f>
        <v/>
      </c>
      <c r="H52" s="7">
        <f>IF(E52="","",MIN(F52,$B$4))</f>
        <v/>
      </c>
      <c r="I52" s="5">
        <f>IF(OR(G52="",H52="",G52&gt;H52),0,NETWORKDAYS.INTL(G52,H52,1))</f>
        <v/>
      </c>
      <c r="J52" s="5">
        <f>IF(I52=0,0,D52/I52)</f>
        <v/>
      </c>
    </row>
    <row r="53">
      <c r="A53" s="6" t="n"/>
      <c r="B53" s="6" t="n"/>
      <c r="C53" s="6" t="n"/>
      <c r="D53" s="6" t="n"/>
      <c r="E53" s="7">
        <f>IF(C53="","",$B$5+(C53-1)*$B$6*7)</f>
        <v/>
      </c>
      <c r="F53" s="7">
        <f>IF(E53="","",E53+$B$6*7-1)</f>
        <v/>
      </c>
      <c r="G53" s="7">
        <f>IF(E53="","",MAX(E53,$B$3))</f>
        <v/>
      </c>
      <c r="H53" s="7">
        <f>IF(E53="","",MIN(F53,$B$4))</f>
        <v/>
      </c>
      <c r="I53" s="5">
        <f>IF(OR(G53="",H53="",G53&gt;H53),0,NETWORKDAYS.INTL(G53,H53,1))</f>
        <v/>
      </c>
      <c r="J53" s="5">
        <f>IF(I53=0,0,D53/I53)</f>
        <v/>
      </c>
    </row>
    <row r="54">
      <c r="A54" s="6" t="n"/>
      <c r="B54" s="6" t="n"/>
      <c r="C54" s="6" t="n"/>
      <c r="D54" s="6" t="n"/>
      <c r="E54" s="7">
        <f>IF(C54="","",$B$5+(C54-1)*$B$6*7)</f>
        <v/>
      </c>
      <c r="F54" s="7">
        <f>IF(E54="","",E54+$B$6*7-1)</f>
        <v/>
      </c>
      <c r="G54" s="7">
        <f>IF(E54="","",MAX(E54,$B$3))</f>
        <v/>
      </c>
      <c r="H54" s="7">
        <f>IF(E54="","",MIN(F54,$B$4))</f>
        <v/>
      </c>
      <c r="I54" s="5">
        <f>IF(OR(G54="",H54="",G54&gt;H54),0,NETWORKDAYS.INTL(G54,H54,1))</f>
        <v/>
      </c>
      <c r="J54" s="5">
        <f>IF(I54=0,0,D54/I54)</f>
        <v/>
      </c>
    </row>
    <row r="55">
      <c r="A55" s="6" t="n"/>
      <c r="B55" s="6" t="n"/>
      <c r="C55" s="6" t="n"/>
      <c r="D55" s="6" t="n"/>
      <c r="E55" s="7">
        <f>IF(C55="","",$B$5+(C55-1)*$B$6*7)</f>
        <v/>
      </c>
      <c r="F55" s="7">
        <f>IF(E55="","",E55+$B$6*7-1)</f>
        <v/>
      </c>
      <c r="G55" s="7">
        <f>IF(E55="","",MAX(E55,$B$3))</f>
        <v/>
      </c>
      <c r="H55" s="7">
        <f>IF(E55="","",MIN(F55,$B$4))</f>
        <v/>
      </c>
      <c r="I55" s="5">
        <f>IF(OR(G55="",H55="",G55&gt;H55),0,NETWORKDAYS.INTL(G55,H55,1))</f>
        <v/>
      </c>
      <c r="J55" s="5">
        <f>IF(I55=0,0,D55/I55)</f>
        <v/>
      </c>
    </row>
    <row r="56">
      <c r="A56" s="6" t="n"/>
      <c r="B56" s="6" t="n"/>
      <c r="C56" s="6" t="n"/>
      <c r="D56" s="6" t="n"/>
      <c r="E56" s="7">
        <f>IF(C56="","",$B$5+(C56-1)*$B$6*7)</f>
        <v/>
      </c>
      <c r="F56" s="7">
        <f>IF(E56="","",E56+$B$6*7-1)</f>
        <v/>
      </c>
      <c r="G56" s="7">
        <f>IF(E56="","",MAX(E56,$B$3))</f>
        <v/>
      </c>
      <c r="H56" s="7">
        <f>IF(E56="","",MIN(F56,$B$4))</f>
        <v/>
      </c>
      <c r="I56" s="5">
        <f>IF(OR(G56="",H56="",G56&gt;H56),0,NETWORKDAYS.INTL(G56,H56,1))</f>
        <v/>
      </c>
      <c r="J56" s="5">
        <f>IF(I56=0,0,D56/I56)</f>
        <v/>
      </c>
    </row>
    <row r="57">
      <c r="A57" s="6" t="n"/>
      <c r="B57" s="6" t="n"/>
      <c r="C57" s="6" t="n"/>
      <c r="D57" s="6" t="n"/>
      <c r="E57" s="7">
        <f>IF(C57="","",$B$5+(C57-1)*$B$6*7)</f>
        <v/>
      </c>
      <c r="F57" s="7">
        <f>IF(E57="","",E57+$B$6*7-1)</f>
        <v/>
      </c>
      <c r="G57" s="7">
        <f>IF(E57="","",MAX(E57,$B$3))</f>
        <v/>
      </c>
      <c r="H57" s="7">
        <f>IF(E57="","",MIN(F57,$B$4))</f>
        <v/>
      </c>
      <c r="I57" s="5">
        <f>IF(OR(G57="",H57="",G57&gt;H57),0,NETWORKDAYS.INTL(G57,H57,1))</f>
        <v/>
      </c>
      <c r="J57" s="5">
        <f>IF(I57=0,0,D57/I57)</f>
        <v/>
      </c>
    </row>
    <row r="58">
      <c r="A58" s="6" t="n"/>
      <c r="B58" s="6" t="n"/>
      <c r="C58" s="6" t="n"/>
      <c r="D58" s="6" t="n"/>
      <c r="E58" s="7">
        <f>IF(C58="","",$B$5+(C58-1)*$B$6*7)</f>
        <v/>
      </c>
      <c r="F58" s="7">
        <f>IF(E58="","",E58+$B$6*7-1)</f>
        <v/>
      </c>
      <c r="G58" s="7">
        <f>IF(E58="","",MAX(E58,$B$3))</f>
        <v/>
      </c>
      <c r="H58" s="7">
        <f>IF(E58="","",MIN(F58,$B$4))</f>
        <v/>
      </c>
      <c r="I58" s="5">
        <f>IF(OR(G58="",H58="",G58&gt;H58),0,NETWORKDAYS.INTL(G58,H58,1))</f>
        <v/>
      </c>
      <c r="J58" s="5">
        <f>IF(I58=0,0,D58/I58)</f>
        <v/>
      </c>
    </row>
    <row r="59">
      <c r="A59" s="6" t="n"/>
      <c r="B59" s="6" t="n"/>
      <c r="C59" s="6" t="n"/>
      <c r="D59" s="6" t="n"/>
      <c r="E59" s="7">
        <f>IF(C59="","",$B$5+(C59-1)*$B$6*7)</f>
        <v/>
      </c>
      <c r="F59" s="7">
        <f>IF(E59="","",E59+$B$6*7-1)</f>
        <v/>
      </c>
      <c r="G59" s="7">
        <f>IF(E59="","",MAX(E59,$B$3))</f>
        <v/>
      </c>
      <c r="H59" s="7">
        <f>IF(E59="","",MIN(F59,$B$4))</f>
        <v/>
      </c>
      <c r="I59" s="5">
        <f>IF(OR(G59="",H59="",G59&gt;H59),0,NETWORKDAYS.INTL(G59,H59,1))</f>
        <v/>
      </c>
      <c r="J59" s="5">
        <f>IF(I59=0,0,D59/I59)</f>
        <v/>
      </c>
    </row>
    <row r="60">
      <c r="A60" s="6" t="n"/>
      <c r="B60" s="6" t="n"/>
      <c r="C60" s="6" t="n"/>
      <c r="D60" s="6" t="n"/>
      <c r="E60" s="7">
        <f>IF(C60="","",$B$5+(C60-1)*$B$6*7)</f>
        <v/>
      </c>
      <c r="F60" s="7">
        <f>IF(E60="","",E60+$B$6*7-1)</f>
        <v/>
      </c>
      <c r="G60" s="7">
        <f>IF(E60="","",MAX(E60,$B$3))</f>
        <v/>
      </c>
      <c r="H60" s="7">
        <f>IF(E60="","",MIN(F60,$B$4))</f>
        <v/>
      </c>
      <c r="I60" s="5">
        <f>IF(OR(G60="",H60="",G60&gt;H60),0,NETWORKDAYS.INTL(G60,H60,1))</f>
        <v/>
      </c>
      <c r="J60" s="5">
        <f>IF(I60=0,0,D60/I60)</f>
        <v/>
      </c>
    </row>
    <row r="61">
      <c r="A61" s="6" t="n"/>
      <c r="B61" s="6" t="n"/>
      <c r="C61" s="6" t="n"/>
      <c r="D61" s="6" t="n"/>
      <c r="E61" s="7">
        <f>IF(C61="","",$B$5+(C61-1)*$B$6*7)</f>
        <v/>
      </c>
      <c r="F61" s="7">
        <f>IF(E61="","",E61+$B$6*7-1)</f>
        <v/>
      </c>
      <c r="G61" s="7">
        <f>IF(E61="","",MAX(E61,$B$3))</f>
        <v/>
      </c>
      <c r="H61" s="7">
        <f>IF(E61="","",MIN(F61,$B$4))</f>
        <v/>
      </c>
      <c r="I61" s="5">
        <f>IF(OR(G61="",H61="",G61&gt;H61),0,NETWORKDAYS.INTL(G61,H61,1))</f>
        <v/>
      </c>
      <c r="J61" s="5">
        <f>IF(I61=0,0,D61/I61)</f>
        <v/>
      </c>
    </row>
    <row r="62">
      <c r="A62" s="6" t="n"/>
      <c r="B62" s="6" t="n"/>
      <c r="C62" s="6" t="n"/>
      <c r="D62" s="6" t="n"/>
      <c r="E62" s="7">
        <f>IF(C62="","",$B$5+(C62-1)*$B$6*7)</f>
        <v/>
      </c>
      <c r="F62" s="7">
        <f>IF(E62="","",E62+$B$6*7-1)</f>
        <v/>
      </c>
      <c r="G62" s="7">
        <f>IF(E62="","",MAX(E62,$B$3))</f>
        <v/>
      </c>
      <c r="H62" s="7">
        <f>IF(E62="","",MIN(F62,$B$4))</f>
        <v/>
      </c>
      <c r="I62" s="5">
        <f>IF(OR(G62="",H62="",G62&gt;H62),0,NETWORKDAYS.INTL(G62,H62,1))</f>
        <v/>
      </c>
      <c r="J62" s="5">
        <f>IF(I62=0,0,D62/I62)</f>
        <v/>
      </c>
    </row>
    <row r="63">
      <c r="A63" s="6" t="n"/>
      <c r="B63" s="6" t="n"/>
      <c r="C63" s="6" t="n"/>
      <c r="D63" s="6" t="n"/>
      <c r="E63" s="7">
        <f>IF(C63="","",$B$5+(C63-1)*$B$6*7)</f>
        <v/>
      </c>
      <c r="F63" s="7">
        <f>IF(E63="","",E63+$B$6*7-1)</f>
        <v/>
      </c>
      <c r="G63" s="7">
        <f>IF(E63="","",MAX(E63,$B$3))</f>
        <v/>
      </c>
      <c r="H63" s="7">
        <f>IF(E63="","",MIN(F63,$B$4))</f>
        <v/>
      </c>
      <c r="I63" s="5">
        <f>IF(OR(G63="",H63="",G63&gt;H63),0,NETWORKDAYS.INTL(G63,H63,1))</f>
        <v/>
      </c>
      <c r="J63" s="5">
        <f>IF(I63=0,0,D63/I63)</f>
        <v/>
      </c>
    </row>
    <row r="64">
      <c r="A64" s="6" t="n"/>
      <c r="B64" s="6" t="n"/>
      <c r="C64" s="6" t="n"/>
      <c r="D64" s="6" t="n"/>
      <c r="E64" s="7">
        <f>IF(C64="","",$B$5+(C64-1)*$B$6*7)</f>
        <v/>
      </c>
      <c r="F64" s="7">
        <f>IF(E64="","",E64+$B$6*7-1)</f>
        <v/>
      </c>
      <c r="G64" s="7">
        <f>IF(E64="","",MAX(E64,$B$3))</f>
        <v/>
      </c>
      <c r="H64" s="7">
        <f>IF(E64="","",MIN(F64,$B$4))</f>
        <v/>
      </c>
      <c r="I64" s="5">
        <f>IF(OR(G64="",H64="",G64&gt;H64),0,NETWORKDAYS.INTL(G64,H64,1))</f>
        <v/>
      </c>
      <c r="J64" s="5">
        <f>IF(I64=0,0,D64/I64)</f>
        <v/>
      </c>
    </row>
    <row r="65">
      <c r="A65" s="6" t="n"/>
      <c r="B65" s="6" t="n"/>
      <c r="C65" s="6" t="n"/>
      <c r="D65" s="6" t="n"/>
      <c r="E65" s="7">
        <f>IF(C65="","",$B$5+(C65-1)*$B$6*7)</f>
        <v/>
      </c>
      <c r="F65" s="7">
        <f>IF(E65="","",E65+$B$6*7-1)</f>
        <v/>
      </c>
      <c r="G65" s="7">
        <f>IF(E65="","",MAX(E65,$B$3))</f>
        <v/>
      </c>
      <c r="H65" s="7">
        <f>IF(E65="","",MIN(F65,$B$4))</f>
        <v/>
      </c>
      <c r="I65" s="5">
        <f>IF(OR(G65="",H65="",G65&gt;H65),0,NETWORKDAYS.INTL(G65,H65,1))</f>
        <v/>
      </c>
      <c r="J65" s="5">
        <f>IF(I65=0,0,D65/I65)</f>
        <v/>
      </c>
    </row>
    <row r="66">
      <c r="A66" s="6" t="n"/>
      <c r="B66" s="6" t="n"/>
      <c r="C66" s="6" t="n"/>
      <c r="D66" s="6" t="n"/>
      <c r="E66" s="7">
        <f>IF(C66="","",$B$5+(C66-1)*$B$6*7)</f>
        <v/>
      </c>
      <c r="F66" s="7">
        <f>IF(E66="","",E66+$B$6*7-1)</f>
        <v/>
      </c>
      <c r="G66" s="7">
        <f>IF(E66="","",MAX(E66,$B$3))</f>
        <v/>
      </c>
      <c r="H66" s="7">
        <f>IF(E66="","",MIN(F66,$B$4))</f>
        <v/>
      </c>
      <c r="I66" s="5">
        <f>IF(OR(G66="",H66="",G66&gt;H66),0,NETWORKDAYS.INTL(G66,H66,1))</f>
        <v/>
      </c>
      <c r="J66" s="5">
        <f>IF(I66=0,0,D66/I66)</f>
        <v/>
      </c>
    </row>
    <row r="67">
      <c r="A67" s="6" t="n"/>
      <c r="B67" s="6" t="n"/>
      <c r="C67" s="6" t="n"/>
      <c r="D67" s="6" t="n"/>
      <c r="E67" s="7">
        <f>IF(C67="","",$B$5+(C67-1)*$B$6*7)</f>
        <v/>
      </c>
      <c r="F67" s="7">
        <f>IF(E67="","",E67+$B$6*7-1)</f>
        <v/>
      </c>
      <c r="G67" s="7">
        <f>IF(E67="","",MAX(E67,$B$3))</f>
        <v/>
      </c>
      <c r="H67" s="7">
        <f>IF(E67="","",MIN(F67,$B$4))</f>
        <v/>
      </c>
      <c r="I67" s="5">
        <f>IF(OR(G67="",H67="",G67&gt;H67),0,NETWORKDAYS.INTL(G67,H67,1))</f>
        <v/>
      </c>
      <c r="J67" s="5">
        <f>IF(I67=0,0,D67/I67)</f>
        <v/>
      </c>
    </row>
    <row r="68">
      <c r="A68" s="6" t="n"/>
      <c r="B68" s="6" t="n"/>
      <c r="C68" s="6" t="n"/>
      <c r="D68" s="6" t="n"/>
      <c r="E68" s="7">
        <f>IF(C68="","",$B$5+(C68-1)*$B$6*7)</f>
        <v/>
      </c>
      <c r="F68" s="7">
        <f>IF(E68="","",E68+$B$6*7-1)</f>
        <v/>
      </c>
      <c r="G68" s="7">
        <f>IF(E68="","",MAX(E68,$B$3))</f>
        <v/>
      </c>
      <c r="H68" s="7">
        <f>IF(E68="","",MIN(F68,$B$4))</f>
        <v/>
      </c>
      <c r="I68" s="5">
        <f>IF(OR(G68="",H68="",G68&gt;H68),0,NETWORKDAYS.INTL(G68,H68,1))</f>
        <v/>
      </c>
      <c r="J68" s="5">
        <f>IF(I68=0,0,D68/I68)</f>
        <v/>
      </c>
    </row>
    <row r="69">
      <c r="A69" s="6" t="n"/>
      <c r="B69" s="6" t="n"/>
      <c r="C69" s="6" t="n"/>
      <c r="D69" s="6" t="n"/>
      <c r="E69" s="7">
        <f>IF(C69="","",$B$5+(C69-1)*$B$6*7)</f>
        <v/>
      </c>
      <c r="F69" s="7">
        <f>IF(E69="","",E69+$B$6*7-1)</f>
        <v/>
      </c>
      <c r="G69" s="7">
        <f>IF(E69="","",MAX(E69,$B$3))</f>
        <v/>
      </c>
      <c r="H69" s="7">
        <f>IF(E69="","",MIN(F69,$B$4))</f>
        <v/>
      </c>
      <c r="I69" s="5">
        <f>IF(OR(G69="",H69="",G69&gt;H69),0,NETWORKDAYS.INTL(G69,H69,1))</f>
        <v/>
      </c>
      <c r="J69" s="5">
        <f>IF(I69=0,0,D69/I69)</f>
        <v/>
      </c>
    </row>
    <row r="70">
      <c r="A70" s="6" t="n"/>
      <c r="B70" s="6" t="n"/>
      <c r="C70" s="6" t="n"/>
      <c r="D70" s="6" t="n"/>
      <c r="E70" s="7">
        <f>IF(C70="","",$B$5+(C70-1)*$B$6*7)</f>
        <v/>
      </c>
      <c r="F70" s="7">
        <f>IF(E70="","",E70+$B$6*7-1)</f>
        <v/>
      </c>
      <c r="G70" s="7">
        <f>IF(E70="","",MAX(E70,$B$3))</f>
        <v/>
      </c>
      <c r="H70" s="7">
        <f>IF(E70="","",MIN(F70,$B$4))</f>
        <v/>
      </c>
      <c r="I70" s="5">
        <f>IF(OR(G70="",H70="",G70&gt;H70),0,NETWORKDAYS.INTL(G70,H70,1))</f>
        <v/>
      </c>
      <c r="J70" s="5">
        <f>IF(I70=0,0,D70/I70)</f>
        <v/>
      </c>
    </row>
    <row r="71">
      <c r="A71" s="6" t="n"/>
      <c r="B71" s="6" t="n"/>
      <c r="C71" s="6" t="n"/>
      <c r="D71" s="6" t="n"/>
      <c r="E71" s="7">
        <f>IF(C71="","",$B$5+(C71-1)*$B$6*7)</f>
        <v/>
      </c>
      <c r="F71" s="7">
        <f>IF(E71="","",E71+$B$6*7-1)</f>
        <v/>
      </c>
      <c r="G71" s="7">
        <f>IF(E71="","",MAX(E71,$B$3))</f>
        <v/>
      </c>
      <c r="H71" s="7">
        <f>IF(E71="","",MIN(F71,$B$4))</f>
        <v/>
      </c>
      <c r="I71" s="5">
        <f>IF(OR(G71="",H71="",G71&gt;H71),0,NETWORKDAYS.INTL(G71,H71,1))</f>
        <v/>
      </c>
      <c r="J71" s="5">
        <f>IF(I71=0,0,D71/I71)</f>
        <v/>
      </c>
    </row>
    <row r="72">
      <c r="A72" s="6" t="n"/>
      <c r="B72" s="6" t="n"/>
      <c r="C72" s="6" t="n"/>
      <c r="D72" s="6" t="n"/>
      <c r="E72" s="7">
        <f>IF(C72="","",$B$5+(C72-1)*$B$6*7)</f>
        <v/>
      </c>
      <c r="F72" s="7">
        <f>IF(E72="","",E72+$B$6*7-1)</f>
        <v/>
      </c>
      <c r="G72" s="7">
        <f>IF(E72="","",MAX(E72,$B$3))</f>
        <v/>
      </c>
      <c r="H72" s="7">
        <f>IF(E72="","",MIN(F72,$B$4))</f>
        <v/>
      </c>
      <c r="I72" s="5">
        <f>IF(OR(G72="",H72="",G72&gt;H72),0,NETWORKDAYS.INTL(G72,H72,1))</f>
        <v/>
      </c>
      <c r="J72" s="5">
        <f>IF(I72=0,0,D72/I72)</f>
        <v/>
      </c>
    </row>
    <row r="73">
      <c r="A73" s="6" t="n"/>
      <c r="B73" s="6" t="n"/>
      <c r="C73" s="6" t="n"/>
      <c r="D73" s="6" t="n"/>
      <c r="E73" s="7">
        <f>IF(C73="","",$B$5+(C73-1)*$B$6*7)</f>
        <v/>
      </c>
      <c r="F73" s="7">
        <f>IF(E73="","",E73+$B$6*7-1)</f>
        <v/>
      </c>
      <c r="G73" s="7">
        <f>IF(E73="","",MAX(E73,$B$3))</f>
        <v/>
      </c>
      <c r="H73" s="7">
        <f>IF(E73="","",MIN(F73,$B$4))</f>
        <v/>
      </c>
      <c r="I73" s="5">
        <f>IF(OR(G73="",H73="",G73&gt;H73),0,NETWORKDAYS.INTL(G73,H73,1))</f>
        <v/>
      </c>
      <c r="J73" s="5">
        <f>IF(I73=0,0,D73/I73)</f>
        <v/>
      </c>
    </row>
    <row r="74">
      <c r="A74" s="6" t="n"/>
      <c r="B74" s="6" t="n"/>
      <c r="C74" s="6" t="n"/>
      <c r="D74" s="6" t="n"/>
      <c r="E74" s="7">
        <f>IF(C74="","",$B$5+(C74-1)*$B$6*7)</f>
        <v/>
      </c>
      <c r="F74" s="7">
        <f>IF(E74="","",E74+$B$6*7-1)</f>
        <v/>
      </c>
      <c r="G74" s="7">
        <f>IF(E74="","",MAX(E74,$B$3))</f>
        <v/>
      </c>
      <c r="H74" s="7">
        <f>IF(E74="","",MIN(F74,$B$4))</f>
        <v/>
      </c>
      <c r="I74" s="5">
        <f>IF(OR(G74="",H74="",G74&gt;H74),0,NETWORKDAYS.INTL(G74,H74,1))</f>
        <v/>
      </c>
      <c r="J74" s="5">
        <f>IF(I74=0,0,D74/I74)</f>
        <v/>
      </c>
    </row>
    <row r="75">
      <c r="A75" s="6" t="n"/>
      <c r="B75" s="6" t="n"/>
      <c r="C75" s="6" t="n"/>
      <c r="D75" s="6" t="n"/>
      <c r="E75" s="7">
        <f>IF(C75="","",$B$5+(C75-1)*$B$6*7)</f>
        <v/>
      </c>
      <c r="F75" s="7">
        <f>IF(E75="","",E75+$B$6*7-1)</f>
        <v/>
      </c>
      <c r="G75" s="7">
        <f>IF(E75="","",MAX(E75,$B$3))</f>
        <v/>
      </c>
      <c r="H75" s="7">
        <f>IF(E75="","",MIN(F75,$B$4))</f>
        <v/>
      </c>
      <c r="I75" s="5">
        <f>IF(OR(G75="",H75="",G75&gt;H75),0,NETWORKDAYS.INTL(G75,H75,1))</f>
        <v/>
      </c>
      <c r="J75" s="5">
        <f>IF(I75=0,0,D75/I75)</f>
        <v/>
      </c>
    </row>
    <row r="76">
      <c r="A76" s="6" t="n"/>
      <c r="B76" s="6" t="n"/>
      <c r="C76" s="6" t="n"/>
      <c r="D76" s="6" t="n"/>
      <c r="E76" s="7">
        <f>IF(C76="","",$B$5+(C76-1)*$B$6*7)</f>
        <v/>
      </c>
      <c r="F76" s="7">
        <f>IF(E76="","",E76+$B$6*7-1)</f>
        <v/>
      </c>
      <c r="G76" s="7">
        <f>IF(E76="","",MAX(E76,$B$3))</f>
        <v/>
      </c>
      <c r="H76" s="7">
        <f>IF(E76="","",MIN(F76,$B$4))</f>
        <v/>
      </c>
      <c r="I76" s="5">
        <f>IF(OR(G76="",H76="",G76&gt;H76),0,NETWORKDAYS.INTL(G76,H76,1))</f>
        <v/>
      </c>
      <c r="J76" s="5">
        <f>IF(I76=0,0,D76/I76)</f>
        <v/>
      </c>
    </row>
    <row r="77">
      <c r="A77" s="6" t="n"/>
      <c r="B77" s="6" t="n"/>
      <c r="C77" s="6" t="n"/>
      <c r="D77" s="6" t="n"/>
      <c r="E77" s="7">
        <f>IF(C77="","",$B$5+(C77-1)*$B$6*7)</f>
        <v/>
      </c>
      <c r="F77" s="7">
        <f>IF(E77="","",E77+$B$6*7-1)</f>
        <v/>
      </c>
      <c r="G77" s="7">
        <f>IF(E77="","",MAX(E77,$B$3))</f>
        <v/>
      </c>
      <c r="H77" s="7">
        <f>IF(E77="","",MIN(F77,$B$4))</f>
        <v/>
      </c>
      <c r="I77" s="5">
        <f>IF(OR(G77="",H77="",G77&gt;H77),0,NETWORKDAYS.INTL(G77,H77,1))</f>
        <v/>
      </c>
      <c r="J77" s="5">
        <f>IF(I77=0,0,D77/I77)</f>
        <v/>
      </c>
    </row>
    <row r="78">
      <c r="A78" s="6" t="n"/>
      <c r="B78" s="6" t="n"/>
      <c r="C78" s="6" t="n"/>
      <c r="D78" s="6" t="n"/>
      <c r="E78" s="7">
        <f>IF(C78="","",$B$5+(C78-1)*$B$6*7)</f>
        <v/>
      </c>
      <c r="F78" s="7">
        <f>IF(E78="","",E78+$B$6*7-1)</f>
        <v/>
      </c>
      <c r="G78" s="7">
        <f>IF(E78="","",MAX(E78,$B$3))</f>
        <v/>
      </c>
      <c r="H78" s="7">
        <f>IF(E78="","",MIN(F78,$B$4))</f>
        <v/>
      </c>
      <c r="I78" s="5">
        <f>IF(OR(G78="",H78="",G78&gt;H78),0,NETWORKDAYS.INTL(G78,H78,1))</f>
        <v/>
      </c>
      <c r="J78" s="5">
        <f>IF(I78=0,0,D78/I78)</f>
        <v/>
      </c>
    </row>
    <row r="79">
      <c r="A79" s="6" t="n"/>
      <c r="B79" s="6" t="n"/>
      <c r="C79" s="6" t="n"/>
      <c r="D79" s="6" t="n"/>
      <c r="E79" s="7">
        <f>IF(C79="","",$B$5+(C79-1)*$B$6*7)</f>
        <v/>
      </c>
      <c r="F79" s="7">
        <f>IF(E79="","",E79+$B$6*7-1)</f>
        <v/>
      </c>
      <c r="G79" s="7">
        <f>IF(E79="","",MAX(E79,$B$3))</f>
        <v/>
      </c>
      <c r="H79" s="7">
        <f>IF(E79="","",MIN(F79,$B$4))</f>
        <v/>
      </c>
      <c r="I79" s="5">
        <f>IF(OR(G79="",H79="",G79&gt;H79),0,NETWORKDAYS.INTL(G79,H79,1))</f>
        <v/>
      </c>
      <c r="J79" s="5">
        <f>IF(I79=0,0,D79/I79)</f>
        <v/>
      </c>
    </row>
    <row r="80">
      <c r="A80" s="6" t="n"/>
      <c r="B80" s="6" t="n"/>
      <c r="C80" s="6" t="n"/>
      <c r="D80" s="6" t="n"/>
      <c r="E80" s="7">
        <f>IF(C80="","",$B$5+(C80-1)*$B$6*7)</f>
        <v/>
      </c>
      <c r="F80" s="7">
        <f>IF(E80="","",E80+$B$6*7-1)</f>
        <v/>
      </c>
      <c r="G80" s="7">
        <f>IF(E80="","",MAX(E80,$B$3))</f>
        <v/>
      </c>
      <c r="H80" s="7">
        <f>IF(E80="","",MIN(F80,$B$4))</f>
        <v/>
      </c>
      <c r="I80" s="5">
        <f>IF(OR(G80="",H80="",G80&gt;H80),0,NETWORKDAYS.INTL(G80,H80,1))</f>
        <v/>
      </c>
      <c r="J80" s="5">
        <f>IF(I80=0,0,D80/I80)</f>
        <v/>
      </c>
    </row>
    <row r="81">
      <c r="A81" s="6" t="n"/>
      <c r="B81" s="6" t="n"/>
      <c r="C81" s="6" t="n"/>
      <c r="D81" s="6" t="n"/>
      <c r="E81" s="7">
        <f>IF(C81="","",$B$5+(C81-1)*$B$6*7)</f>
        <v/>
      </c>
      <c r="F81" s="7">
        <f>IF(E81="","",E81+$B$6*7-1)</f>
        <v/>
      </c>
      <c r="G81" s="7">
        <f>IF(E81="","",MAX(E81,$B$3))</f>
        <v/>
      </c>
      <c r="H81" s="7">
        <f>IF(E81="","",MIN(F81,$B$4))</f>
        <v/>
      </c>
      <c r="I81" s="5">
        <f>IF(OR(G81="",H81="",G81&gt;H81),0,NETWORKDAYS.INTL(G81,H81,1))</f>
        <v/>
      </c>
      <c r="J81" s="5">
        <f>IF(I81=0,0,D81/I81)</f>
        <v/>
      </c>
    </row>
    <row r="82">
      <c r="A82" s="6" t="n"/>
      <c r="B82" s="6" t="n"/>
      <c r="C82" s="6" t="n"/>
      <c r="D82" s="6" t="n"/>
      <c r="E82" s="7">
        <f>IF(C82="","",$B$5+(C82-1)*$B$6*7)</f>
        <v/>
      </c>
      <c r="F82" s="7">
        <f>IF(E82="","",E82+$B$6*7-1)</f>
        <v/>
      </c>
      <c r="G82" s="7">
        <f>IF(E82="","",MAX(E82,$B$3))</f>
        <v/>
      </c>
      <c r="H82" s="7">
        <f>IF(E82="","",MIN(F82,$B$4))</f>
        <v/>
      </c>
      <c r="I82" s="5">
        <f>IF(OR(G82="",H82="",G82&gt;H82),0,NETWORKDAYS.INTL(G82,H82,1))</f>
        <v/>
      </c>
      <c r="J82" s="5">
        <f>IF(I82=0,0,D82/I82)</f>
        <v/>
      </c>
    </row>
    <row r="83">
      <c r="A83" s="6" t="n"/>
      <c r="B83" s="6" t="n"/>
      <c r="C83" s="6" t="n"/>
      <c r="D83" s="6" t="n"/>
      <c r="E83" s="7">
        <f>IF(C83="","",$B$5+(C83-1)*$B$6*7)</f>
        <v/>
      </c>
      <c r="F83" s="7">
        <f>IF(E83="","",E83+$B$6*7-1)</f>
        <v/>
      </c>
      <c r="G83" s="7">
        <f>IF(E83="","",MAX(E83,$B$3))</f>
        <v/>
      </c>
      <c r="H83" s="7">
        <f>IF(E83="","",MIN(F83,$B$4))</f>
        <v/>
      </c>
      <c r="I83" s="5">
        <f>IF(OR(G83="",H83="",G83&gt;H83),0,NETWORKDAYS.INTL(G83,H83,1))</f>
        <v/>
      </c>
      <c r="J83" s="5">
        <f>IF(I83=0,0,D83/I83)</f>
        <v/>
      </c>
    </row>
    <row r="84">
      <c r="A84" s="6" t="n"/>
      <c r="B84" s="6" t="n"/>
      <c r="C84" s="6" t="n"/>
      <c r="D84" s="6" t="n"/>
      <c r="E84" s="7">
        <f>IF(C84="","",$B$5+(C84-1)*$B$6*7)</f>
        <v/>
      </c>
      <c r="F84" s="7">
        <f>IF(E84="","",E84+$B$6*7-1)</f>
        <v/>
      </c>
      <c r="G84" s="7">
        <f>IF(E84="","",MAX(E84,$B$3))</f>
        <v/>
      </c>
      <c r="H84" s="7">
        <f>IF(E84="","",MIN(F84,$B$4))</f>
        <v/>
      </c>
      <c r="I84" s="5">
        <f>IF(OR(G84="",H84="",G84&gt;H84),0,NETWORKDAYS.INTL(G84,H84,1))</f>
        <v/>
      </c>
      <c r="J84" s="5">
        <f>IF(I84=0,0,D84/I84)</f>
        <v/>
      </c>
    </row>
    <row r="85">
      <c r="A85" s="6" t="n"/>
      <c r="B85" s="6" t="n"/>
      <c r="C85" s="6" t="n"/>
      <c r="D85" s="6" t="n"/>
      <c r="E85" s="7">
        <f>IF(C85="","",$B$5+(C85-1)*$B$6*7)</f>
        <v/>
      </c>
      <c r="F85" s="7">
        <f>IF(E85="","",E85+$B$6*7-1)</f>
        <v/>
      </c>
      <c r="G85" s="7">
        <f>IF(E85="","",MAX(E85,$B$3))</f>
        <v/>
      </c>
      <c r="H85" s="7">
        <f>IF(E85="","",MIN(F85,$B$4))</f>
        <v/>
      </c>
      <c r="I85" s="5">
        <f>IF(OR(G85="",H85="",G85&gt;H85),0,NETWORKDAYS.INTL(G85,H85,1))</f>
        <v/>
      </c>
      <c r="J85" s="5">
        <f>IF(I85=0,0,D85/I85)</f>
        <v/>
      </c>
    </row>
    <row r="86">
      <c r="A86" s="6" t="n"/>
      <c r="B86" s="6" t="n"/>
      <c r="C86" s="6" t="n"/>
      <c r="D86" s="6" t="n"/>
      <c r="E86" s="7">
        <f>IF(C86="","",$B$5+(C86-1)*$B$6*7)</f>
        <v/>
      </c>
      <c r="F86" s="7">
        <f>IF(E86="","",E86+$B$6*7-1)</f>
        <v/>
      </c>
      <c r="G86" s="7">
        <f>IF(E86="","",MAX(E86,$B$3))</f>
        <v/>
      </c>
      <c r="H86" s="7">
        <f>IF(E86="","",MIN(F86,$B$4))</f>
        <v/>
      </c>
      <c r="I86" s="5">
        <f>IF(OR(G86="",H86="",G86&gt;H86),0,NETWORKDAYS.INTL(G86,H86,1))</f>
        <v/>
      </c>
      <c r="J86" s="5">
        <f>IF(I86=0,0,D86/I86)</f>
        <v/>
      </c>
    </row>
    <row r="87">
      <c r="A87" s="6" t="n"/>
      <c r="B87" s="6" t="n"/>
      <c r="C87" s="6" t="n"/>
      <c r="D87" s="6" t="n"/>
      <c r="E87" s="7">
        <f>IF(C87="","",$B$5+(C87-1)*$B$6*7)</f>
        <v/>
      </c>
      <c r="F87" s="7">
        <f>IF(E87="","",E87+$B$6*7-1)</f>
        <v/>
      </c>
      <c r="G87" s="7">
        <f>IF(E87="","",MAX(E87,$B$3))</f>
        <v/>
      </c>
      <c r="H87" s="7">
        <f>IF(E87="","",MIN(F87,$B$4))</f>
        <v/>
      </c>
      <c r="I87" s="5">
        <f>IF(OR(G87="",H87="",G87&gt;H87),0,NETWORKDAYS.INTL(G87,H87,1))</f>
        <v/>
      </c>
      <c r="J87" s="5">
        <f>IF(I87=0,0,D87/I87)</f>
        <v/>
      </c>
    </row>
    <row r="88">
      <c r="A88" s="6" t="n"/>
      <c r="B88" s="6" t="n"/>
      <c r="C88" s="6" t="n"/>
      <c r="D88" s="6" t="n"/>
      <c r="E88" s="7">
        <f>IF(C88="","",$B$5+(C88-1)*$B$6*7)</f>
        <v/>
      </c>
      <c r="F88" s="7">
        <f>IF(E88="","",E88+$B$6*7-1)</f>
        <v/>
      </c>
      <c r="G88" s="7">
        <f>IF(E88="","",MAX(E88,$B$3))</f>
        <v/>
      </c>
      <c r="H88" s="7">
        <f>IF(E88="","",MIN(F88,$B$4))</f>
        <v/>
      </c>
      <c r="I88" s="5">
        <f>IF(OR(G88="",H88="",G88&gt;H88),0,NETWORKDAYS.INTL(G88,H88,1))</f>
        <v/>
      </c>
      <c r="J88" s="5">
        <f>IF(I88=0,0,D88/I88)</f>
        <v/>
      </c>
    </row>
    <row r="89">
      <c r="A89" s="6" t="n"/>
      <c r="B89" s="6" t="n"/>
      <c r="C89" s="6" t="n"/>
      <c r="D89" s="6" t="n"/>
      <c r="E89" s="7">
        <f>IF(C89="","",$B$5+(C89-1)*$B$6*7)</f>
        <v/>
      </c>
      <c r="F89" s="7">
        <f>IF(E89="","",E89+$B$6*7-1)</f>
        <v/>
      </c>
      <c r="G89" s="7">
        <f>IF(E89="","",MAX(E89,$B$3))</f>
        <v/>
      </c>
      <c r="H89" s="7">
        <f>IF(E89="","",MIN(F89,$B$4))</f>
        <v/>
      </c>
      <c r="I89" s="5">
        <f>IF(OR(G89="",H89="",G89&gt;H89),0,NETWORKDAYS.INTL(G89,H89,1))</f>
        <v/>
      </c>
      <c r="J89" s="5">
        <f>IF(I89=0,0,D89/I89)</f>
        <v/>
      </c>
    </row>
    <row r="90">
      <c r="A90" s="6" t="n"/>
      <c r="B90" s="6" t="n"/>
      <c r="C90" s="6" t="n"/>
      <c r="D90" s="6" t="n"/>
      <c r="E90" s="7">
        <f>IF(C90="","",$B$5+(C90-1)*$B$6*7)</f>
        <v/>
      </c>
      <c r="F90" s="7">
        <f>IF(E90="","",E90+$B$6*7-1)</f>
        <v/>
      </c>
      <c r="G90" s="7">
        <f>IF(E90="","",MAX(E90,$B$3))</f>
        <v/>
      </c>
      <c r="H90" s="7">
        <f>IF(E90="","",MIN(F90,$B$4))</f>
        <v/>
      </c>
      <c r="I90" s="5">
        <f>IF(OR(G90="",H90="",G90&gt;H90),0,NETWORKDAYS.INTL(G90,H90,1))</f>
        <v/>
      </c>
      <c r="J90" s="5">
        <f>IF(I90=0,0,D90/I90)</f>
        <v/>
      </c>
    </row>
    <row r="91">
      <c r="A91" s="6" t="n"/>
      <c r="B91" s="6" t="n"/>
      <c r="C91" s="6" t="n"/>
      <c r="D91" s="6" t="n"/>
      <c r="E91" s="7">
        <f>IF(C91="","",$B$5+(C91-1)*$B$6*7)</f>
        <v/>
      </c>
      <c r="F91" s="7">
        <f>IF(E91="","",E91+$B$6*7-1)</f>
        <v/>
      </c>
      <c r="G91" s="7">
        <f>IF(E91="","",MAX(E91,$B$3))</f>
        <v/>
      </c>
      <c r="H91" s="7">
        <f>IF(E91="","",MIN(F91,$B$4))</f>
        <v/>
      </c>
      <c r="I91" s="5">
        <f>IF(OR(G91="",H91="",G91&gt;H91),0,NETWORKDAYS.INTL(G91,H91,1))</f>
        <v/>
      </c>
      <c r="J91" s="5">
        <f>IF(I91=0,0,D91/I91)</f>
        <v/>
      </c>
    </row>
    <row r="92">
      <c r="A92" s="6" t="n"/>
      <c r="B92" s="6" t="n"/>
      <c r="C92" s="6" t="n"/>
      <c r="D92" s="6" t="n"/>
      <c r="E92" s="7">
        <f>IF(C92="","",$B$5+(C92-1)*$B$6*7)</f>
        <v/>
      </c>
      <c r="F92" s="7">
        <f>IF(E92="","",E92+$B$6*7-1)</f>
        <v/>
      </c>
      <c r="G92" s="7">
        <f>IF(E92="","",MAX(E92,$B$3))</f>
        <v/>
      </c>
      <c r="H92" s="7">
        <f>IF(E92="","",MIN(F92,$B$4))</f>
        <v/>
      </c>
      <c r="I92" s="5">
        <f>IF(OR(G92="",H92="",G92&gt;H92),0,NETWORKDAYS.INTL(G92,H92,1))</f>
        <v/>
      </c>
      <c r="J92" s="5">
        <f>IF(I92=0,0,D92/I92)</f>
        <v/>
      </c>
    </row>
    <row r="93">
      <c r="A93" s="6" t="n"/>
      <c r="B93" s="6" t="n"/>
      <c r="C93" s="6" t="n"/>
      <c r="D93" s="6" t="n"/>
      <c r="E93" s="7">
        <f>IF(C93="","",$B$5+(C93-1)*$B$6*7)</f>
        <v/>
      </c>
      <c r="F93" s="7">
        <f>IF(E93="","",E93+$B$6*7-1)</f>
        <v/>
      </c>
      <c r="G93" s="7">
        <f>IF(E93="","",MAX(E93,$B$3))</f>
        <v/>
      </c>
      <c r="H93" s="7">
        <f>IF(E93="","",MIN(F93,$B$4))</f>
        <v/>
      </c>
      <c r="I93" s="5">
        <f>IF(OR(G93="",H93="",G93&gt;H93),0,NETWORKDAYS.INTL(G93,H93,1))</f>
        <v/>
      </c>
      <c r="J93" s="5">
        <f>IF(I93=0,0,D93/I93)</f>
        <v/>
      </c>
    </row>
    <row r="94">
      <c r="A94" s="6" t="n"/>
      <c r="B94" s="6" t="n"/>
      <c r="C94" s="6" t="n"/>
      <c r="D94" s="6" t="n"/>
      <c r="E94" s="7">
        <f>IF(C94="","",$B$5+(C94-1)*$B$6*7)</f>
        <v/>
      </c>
      <c r="F94" s="7">
        <f>IF(E94="","",E94+$B$6*7-1)</f>
        <v/>
      </c>
      <c r="G94" s="7">
        <f>IF(E94="","",MAX(E94,$B$3))</f>
        <v/>
      </c>
      <c r="H94" s="7">
        <f>IF(E94="","",MIN(F94,$B$4))</f>
        <v/>
      </c>
      <c r="I94" s="5">
        <f>IF(OR(G94="",H94="",G94&gt;H94),0,NETWORKDAYS.INTL(G94,H94,1))</f>
        <v/>
      </c>
      <c r="J94" s="5">
        <f>IF(I94=0,0,D94/I94)</f>
        <v/>
      </c>
    </row>
    <row r="95">
      <c r="A95" s="6" t="n"/>
      <c r="B95" s="6" t="n"/>
      <c r="C95" s="6" t="n"/>
      <c r="D95" s="6" t="n"/>
      <c r="E95" s="7">
        <f>IF(C95="","",$B$5+(C95-1)*$B$6*7)</f>
        <v/>
      </c>
      <c r="F95" s="7">
        <f>IF(E95="","",E95+$B$6*7-1)</f>
        <v/>
      </c>
      <c r="G95" s="7">
        <f>IF(E95="","",MAX(E95,$B$3))</f>
        <v/>
      </c>
      <c r="H95" s="7">
        <f>IF(E95="","",MIN(F95,$B$4))</f>
        <v/>
      </c>
      <c r="I95" s="5">
        <f>IF(OR(G95="",H95="",G95&gt;H95),0,NETWORKDAYS.INTL(G95,H95,1))</f>
        <v/>
      </c>
      <c r="J95" s="5">
        <f>IF(I95=0,0,D95/I95)</f>
        <v/>
      </c>
    </row>
    <row r="96">
      <c r="A96" s="6" t="n"/>
      <c r="B96" s="6" t="n"/>
      <c r="C96" s="6" t="n"/>
      <c r="D96" s="6" t="n"/>
      <c r="E96" s="7">
        <f>IF(C96="","",$B$5+(C96-1)*$B$6*7)</f>
        <v/>
      </c>
      <c r="F96" s="7">
        <f>IF(E96="","",E96+$B$6*7-1)</f>
        <v/>
      </c>
      <c r="G96" s="7">
        <f>IF(E96="","",MAX(E96,$B$3))</f>
        <v/>
      </c>
      <c r="H96" s="7">
        <f>IF(E96="","",MIN(F96,$B$4))</f>
        <v/>
      </c>
      <c r="I96" s="5">
        <f>IF(OR(G96="",H96="",G96&gt;H96),0,NETWORKDAYS.INTL(G96,H96,1))</f>
        <v/>
      </c>
      <c r="J96" s="5">
        <f>IF(I96=0,0,D96/I96)</f>
        <v/>
      </c>
    </row>
    <row r="97">
      <c r="A97" s="6" t="n"/>
      <c r="B97" s="6" t="n"/>
      <c r="C97" s="6" t="n"/>
      <c r="D97" s="6" t="n"/>
      <c r="E97" s="7">
        <f>IF(C97="","",$B$5+(C97-1)*$B$6*7)</f>
        <v/>
      </c>
      <c r="F97" s="7">
        <f>IF(E97="","",E97+$B$6*7-1)</f>
        <v/>
      </c>
      <c r="G97" s="7">
        <f>IF(E97="","",MAX(E97,$B$3))</f>
        <v/>
      </c>
      <c r="H97" s="7">
        <f>IF(E97="","",MIN(F97,$B$4))</f>
        <v/>
      </c>
      <c r="I97" s="5">
        <f>IF(OR(G97="",H97="",G97&gt;H97),0,NETWORKDAYS.INTL(G97,H97,1))</f>
        <v/>
      </c>
      <c r="J97" s="5">
        <f>IF(I97=0,0,D97/I97)</f>
        <v/>
      </c>
    </row>
    <row r="98">
      <c r="A98" s="6" t="n"/>
      <c r="B98" s="6" t="n"/>
      <c r="C98" s="6" t="n"/>
      <c r="D98" s="6" t="n"/>
      <c r="E98" s="7">
        <f>IF(C98="","",$B$5+(C98-1)*$B$6*7)</f>
        <v/>
      </c>
      <c r="F98" s="7">
        <f>IF(E98="","",E98+$B$6*7-1)</f>
        <v/>
      </c>
      <c r="G98" s="7">
        <f>IF(E98="","",MAX(E98,$B$3))</f>
        <v/>
      </c>
      <c r="H98" s="7">
        <f>IF(E98="","",MIN(F98,$B$4))</f>
        <v/>
      </c>
      <c r="I98" s="5">
        <f>IF(OR(G98="",H98="",G98&gt;H98),0,NETWORKDAYS.INTL(G98,H98,1))</f>
        <v/>
      </c>
      <c r="J98" s="5">
        <f>IF(I98=0,0,D98/I98)</f>
        <v/>
      </c>
    </row>
    <row r="99">
      <c r="A99" s="6" t="n"/>
      <c r="B99" s="6" t="n"/>
      <c r="C99" s="6" t="n"/>
      <c r="D99" s="6" t="n"/>
      <c r="E99" s="7">
        <f>IF(C99="","",$B$5+(C99-1)*$B$6*7)</f>
        <v/>
      </c>
      <c r="F99" s="7">
        <f>IF(E99="","",E99+$B$6*7-1)</f>
        <v/>
      </c>
      <c r="G99" s="7">
        <f>IF(E99="","",MAX(E99,$B$3))</f>
        <v/>
      </c>
      <c r="H99" s="7">
        <f>IF(E99="","",MIN(F99,$B$4))</f>
        <v/>
      </c>
      <c r="I99" s="5">
        <f>IF(OR(G99="",H99="",G99&gt;H99),0,NETWORKDAYS.INTL(G99,H99,1))</f>
        <v/>
      </c>
      <c r="J99" s="5">
        <f>IF(I99=0,0,D99/I99)</f>
        <v/>
      </c>
    </row>
    <row r="100">
      <c r="A100" s="6" t="n"/>
      <c r="B100" s="6" t="n"/>
      <c r="C100" s="6" t="n"/>
      <c r="D100" s="6" t="n"/>
      <c r="E100" s="7">
        <f>IF(C100="","",$B$5+(C100-1)*$B$6*7)</f>
        <v/>
      </c>
      <c r="F100" s="7">
        <f>IF(E100="","",E100+$B$6*7-1)</f>
        <v/>
      </c>
      <c r="G100" s="7">
        <f>IF(E100="","",MAX(E100,$B$3))</f>
        <v/>
      </c>
      <c r="H100" s="7">
        <f>IF(E100="","",MIN(F100,$B$4))</f>
        <v/>
      </c>
      <c r="I100" s="5">
        <f>IF(OR(G100="",H100="",G100&gt;H100),0,NETWORKDAYS.INTL(G100,H100,1))</f>
        <v/>
      </c>
      <c r="J100" s="5">
        <f>IF(I100=0,0,D100/I100)</f>
        <v/>
      </c>
    </row>
    <row r="101">
      <c r="A101" s="6" t="n"/>
      <c r="B101" s="6" t="n"/>
      <c r="C101" s="6" t="n"/>
      <c r="D101" s="6" t="n"/>
      <c r="E101" s="7">
        <f>IF(C101="","",$B$5+(C101-1)*$B$6*7)</f>
        <v/>
      </c>
      <c r="F101" s="7">
        <f>IF(E101="","",E101+$B$6*7-1)</f>
        <v/>
      </c>
      <c r="G101" s="7">
        <f>IF(E101="","",MAX(E101,$B$3))</f>
        <v/>
      </c>
      <c r="H101" s="7">
        <f>IF(E101="","",MIN(F101,$B$4))</f>
        <v/>
      </c>
      <c r="I101" s="5">
        <f>IF(OR(G101="",H101="",G101&gt;H101),0,NETWORKDAYS.INTL(G101,H101,1))</f>
        <v/>
      </c>
      <c r="J101" s="5">
        <f>IF(I101=0,0,D101/I101)</f>
        <v/>
      </c>
    </row>
    <row r="102">
      <c r="A102" s="6" t="n"/>
      <c r="B102" s="6" t="n"/>
      <c r="C102" s="6" t="n"/>
      <c r="D102" s="6" t="n"/>
      <c r="E102" s="7">
        <f>IF(C102="","",$B$5+(C102-1)*$B$6*7)</f>
        <v/>
      </c>
      <c r="F102" s="7">
        <f>IF(E102="","",E102+$B$6*7-1)</f>
        <v/>
      </c>
      <c r="G102" s="7">
        <f>IF(E102="","",MAX(E102,$B$3))</f>
        <v/>
      </c>
      <c r="H102" s="7">
        <f>IF(E102="","",MIN(F102,$B$4))</f>
        <v/>
      </c>
      <c r="I102" s="5">
        <f>IF(OR(G102="",H102="",G102&gt;H102),0,NETWORKDAYS.INTL(G102,H102,1))</f>
        <v/>
      </c>
      <c r="J102" s="5">
        <f>IF(I102=0,0,D102/I102)</f>
        <v/>
      </c>
    </row>
    <row r="103">
      <c r="A103" s="6" t="n"/>
      <c r="B103" s="6" t="n"/>
      <c r="C103" s="6" t="n"/>
      <c r="D103" s="6" t="n"/>
      <c r="E103" s="7">
        <f>IF(C103="","",$B$5+(C103-1)*$B$6*7)</f>
        <v/>
      </c>
      <c r="F103" s="7">
        <f>IF(E103="","",E103+$B$6*7-1)</f>
        <v/>
      </c>
      <c r="G103" s="7">
        <f>IF(E103="","",MAX(E103,$B$3))</f>
        <v/>
      </c>
      <c r="H103" s="7">
        <f>IF(E103="","",MIN(F103,$B$4))</f>
        <v/>
      </c>
      <c r="I103" s="5">
        <f>IF(OR(G103="",H103="",G103&gt;H103),0,NETWORKDAYS.INTL(G103,H103,1))</f>
        <v/>
      </c>
      <c r="J103" s="5">
        <f>IF(I103=0,0,D103/I103)</f>
        <v/>
      </c>
    </row>
    <row r="104">
      <c r="A104" s="6" t="n"/>
      <c r="B104" s="6" t="n"/>
      <c r="C104" s="6" t="n"/>
      <c r="D104" s="6" t="n"/>
      <c r="E104" s="7">
        <f>IF(C104="","",$B$5+(C104-1)*$B$6*7)</f>
        <v/>
      </c>
      <c r="F104" s="7">
        <f>IF(E104="","",E104+$B$6*7-1)</f>
        <v/>
      </c>
      <c r="G104" s="7">
        <f>IF(E104="","",MAX(E104,$B$3))</f>
        <v/>
      </c>
      <c r="H104" s="7">
        <f>IF(E104="","",MIN(F104,$B$4))</f>
        <v/>
      </c>
      <c r="I104" s="5">
        <f>IF(OR(G104="",H104="",G104&gt;H104),0,NETWORKDAYS.INTL(G104,H104,1))</f>
        <v/>
      </c>
      <c r="J104" s="5">
        <f>IF(I104=0,0,D104/I104)</f>
        <v/>
      </c>
    </row>
    <row r="105">
      <c r="A105" s="6" t="n"/>
      <c r="B105" s="6" t="n"/>
      <c r="C105" s="6" t="n"/>
      <c r="D105" s="6" t="n"/>
      <c r="E105" s="7">
        <f>IF(C105="","",$B$5+(C105-1)*$B$6*7)</f>
        <v/>
      </c>
      <c r="F105" s="7">
        <f>IF(E105="","",E105+$B$6*7-1)</f>
        <v/>
      </c>
      <c r="G105" s="7">
        <f>IF(E105="","",MAX(E105,$B$3))</f>
        <v/>
      </c>
      <c r="H105" s="7">
        <f>IF(E105="","",MIN(F105,$B$4))</f>
        <v/>
      </c>
      <c r="I105" s="5">
        <f>IF(OR(G105="",H105="",G105&gt;H105),0,NETWORKDAYS.INTL(G105,H105,1))</f>
        <v/>
      </c>
      <c r="J105" s="5">
        <f>IF(I105=0,0,D105/I105)</f>
        <v/>
      </c>
    </row>
    <row r="106">
      <c r="A106" s="6" t="n"/>
      <c r="B106" s="6" t="n"/>
      <c r="C106" s="6" t="n"/>
      <c r="D106" s="6" t="n"/>
      <c r="E106" s="7">
        <f>IF(C106="","",$B$5+(C106-1)*$B$6*7)</f>
        <v/>
      </c>
      <c r="F106" s="7">
        <f>IF(E106="","",E106+$B$6*7-1)</f>
        <v/>
      </c>
      <c r="G106" s="7">
        <f>IF(E106="","",MAX(E106,$B$3))</f>
        <v/>
      </c>
      <c r="H106" s="7">
        <f>IF(E106="","",MIN(F106,$B$4))</f>
        <v/>
      </c>
      <c r="I106" s="5">
        <f>IF(OR(G106="",H106="",G106&gt;H106),0,NETWORKDAYS.INTL(G106,H106,1))</f>
        <v/>
      </c>
      <c r="J106" s="5">
        <f>IF(I106=0,0,D106/I106)</f>
        <v/>
      </c>
    </row>
    <row r="107">
      <c r="A107" s="6" t="n"/>
      <c r="B107" s="6" t="n"/>
      <c r="C107" s="6" t="n"/>
      <c r="D107" s="6" t="n"/>
      <c r="E107" s="7">
        <f>IF(C107="","",$B$5+(C107-1)*$B$6*7)</f>
        <v/>
      </c>
      <c r="F107" s="7">
        <f>IF(E107="","",E107+$B$6*7-1)</f>
        <v/>
      </c>
      <c r="G107" s="7">
        <f>IF(E107="","",MAX(E107,$B$3))</f>
        <v/>
      </c>
      <c r="H107" s="7">
        <f>IF(E107="","",MIN(F107,$B$4))</f>
        <v/>
      </c>
      <c r="I107" s="5">
        <f>IF(OR(G107="",H107="",G107&gt;H107),0,NETWORKDAYS.INTL(G107,H107,1))</f>
        <v/>
      </c>
      <c r="J107" s="5">
        <f>IF(I107=0,0,D107/I107)</f>
        <v/>
      </c>
    </row>
    <row r="108">
      <c r="A108" s="6" t="n"/>
      <c r="B108" s="6" t="n"/>
      <c r="C108" s="6" t="n"/>
      <c r="D108" s="6" t="n"/>
      <c r="E108" s="7">
        <f>IF(C108="","",$B$5+(C108-1)*$B$6*7)</f>
        <v/>
      </c>
      <c r="F108" s="7">
        <f>IF(E108="","",E108+$B$6*7-1)</f>
        <v/>
      </c>
      <c r="G108" s="7">
        <f>IF(E108="","",MAX(E108,$B$3))</f>
        <v/>
      </c>
      <c r="H108" s="7">
        <f>IF(E108="","",MIN(F108,$B$4))</f>
        <v/>
      </c>
      <c r="I108" s="5">
        <f>IF(OR(G108="",H108="",G108&gt;H108),0,NETWORKDAYS.INTL(G108,H108,1))</f>
        <v/>
      </c>
      <c r="J108" s="5">
        <f>IF(I108=0,0,D108/I108)</f>
        <v/>
      </c>
    </row>
    <row r="109">
      <c r="A109" s="6" t="n"/>
      <c r="B109" s="6" t="n"/>
      <c r="C109" s="6" t="n"/>
      <c r="D109" s="6" t="n"/>
      <c r="E109" s="7">
        <f>IF(C109="","",$B$5+(C109-1)*$B$6*7)</f>
        <v/>
      </c>
      <c r="F109" s="7">
        <f>IF(E109="","",E109+$B$6*7-1)</f>
        <v/>
      </c>
      <c r="G109" s="7">
        <f>IF(E109="","",MAX(E109,$B$3))</f>
        <v/>
      </c>
      <c r="H109" s="7">
        <f>IF(E109="","",MIN(F109,$B$4))</f>
        <v/>
      </c>
      <c r="I109" s="5">
        <f>IF(OR(G109="",H109="",G109&gt;H109),0,NETWORKDAYS.INTL(G109,H109,1))</f>
        <v/>
      </c>
      <c r="J109" s="5">
        <f>IF(I109=0,0,D109/I109)</f>
        <v/>
      </c>
    </row>
    <row r="110">
      <c r="A110" s="6" t="n"/>
      <c r="B110" s="6" t="n"/>
      <c r="C110" s="6" t="n"/>
      <c r="D110" s="6" t="n"/>
      <c r="E110" s="7">
        <f>IF(C110="","",$B$5+(C110-1)*$B$6*7)</f>
        <v/>
      </c>
      <c r="F110" s="7">
        <f>IF(E110="","",E110+$B$6*7-1)</f>
        <v/>
      </c>
      <c r="G110" s="7">
        <f>IF(E110="","",MAX(E110,$B$3))</f>
        <v/>
      </c>
      <c r="H110" s="7">
        <f>IF(E110="","",MIN(F110,$B$4))</f>
        <v/>
      </c>
      <c r="I110" s="5">
        <f>IF(OR(G110="",H110="",G110&gt;H110),0,NETWORKDAYS.INTL(G110,H110,1))</f>
        <v/>
      </c>
      <c r="J110" s="5">
        <f>IF(I110=0,0,D110/I110)</f>
        <v/>
      </c>
    </row>
    <row r="111">
      <c r="A111" s="6" t="n"/>
      <c r="B111" s="6" t="n"/>
      <c r="C111" s="6" t="n"/>
      <c r="D111" s="6" t="n"/>
      <c r="E111" s="7">
        <f>IF(C111="","",$B$5+(C111-1)*$B$6*7)</f>
        <v/>
      </c>
      <c r="F111" s="7">
        <f>IF(E111="","",E111+$B$6*7-1)</f>
        <v/>
      </c>
      <c r="G111" s="7">
        <f>IF(E111="","",MAX(E111,$B$3))</f>
        <v/>
      </c>
      <c r="H111" s="7">
        <f>IF(E111="","",MIN(F111,$B$4))</f>
        <v/>
      </c>
      <c r="I111" s="5">
        <f>IF(OR(G111="",H111="",G111&gt;H111),0,NETWORKDAYS.INTL(G111,H111,1))</f>
        <v/>
      </c>
      <c r="J111" s="5">
        <f>IF(I111=0,0,D111/I111)</f>
        <v/>
      </c>
    </row>
    <row r="112">
      <c r="A112" s="6" t="n"/>
      <c r="B112" s="6" t="n"/>
      <c r="C112" s="6" t="n"/>
      <c r="D112" s="6" t="n"/>
      <c r="E112" s="7">
        <f>IF(C112="","",$B$5+(C112-1)*$B$6*7)</f>
        <v/>
      </c>
      <c r="F112" s="7">
        <f>IF(E112="","",E112+$B$6*7-1)</f>
        <v/>
      </c>
      <c r="G112" s="7">
        <f>IF(E112="","",MAX(E112,$B$3))</f>
        <v/>
      </c>
      <c r="H112" s="7">
        <f>IF(E112="","",MIN(F112,$B$4))</f>
        <v/>
      </c>
      <c r="I112" s="5">
        <f>IF(OR(G112="",H112="",G112&gt;H112),0,NETWORKDAYS.INTL(G112,H112,1))</f>
        <v/>
      </c>
      <c r="J112" s="5">
        <f>IF(I112=0,0,D112/I112)</f>
        <v/>
      </c>
    </row>
    <row r="113">
      <c r="A113" s="6" t="n"/>
      <c r="B113" s="6" t="n"/>
      <c r="C113" s="6" t="n"/>
      <c r="D113" s="6" t="n"/>
      <c r="E113" s="7">
        <f>IF(C113="","",$B$5+(C113-1)*$B$6*7)</f>
        <v/>
      </c>
      <c r="F113" s="7">
        <f>IF(E113="","",E113+$B$6*7-1)</f>
        <v/>
      </c>
      <c r="G113" s="7">
        <f>IF(E113="","",MAX(E113,$B$3))</f>
        <v/>
      </c>
      <c r="H113" s="7">
        <f>IF(E113="","",MIN(F113,$B$4))</f>
        <v/>
      </c>
      <c r="I113" s="5">
        <f>IF(OR(G113="",H113="",G113&gt;H113),0,NETWORKDAYS.INTL(G113,H113,1))</f>
        <v/>
      </c>
      <c r="J113" s="5">
        <f>IF(I113=0,0,D113/I113)</f>
        <v/>
      </c>
    </row>
    <row r="114">
      <c r="A114" s="6" t="n"/>
      <c r="B114" s="6" t="n"/>
      <c r="C114" s="6" t="n"/>
      <c r="D114" s="6" t="n"/>
      <c r="E114" s="7">
        <f>IF(C114="","",$B$5+(C114-1)*$B$6*7)</f>
        <v/>
      </c>
      <c r="F114" s="7">
        <f>IF(E114="","",E114+$B$6*7-1)</f>
        <v/>
      </c>
      <c r="G114" s="7">
        <f>IF(E114="","",MAX(E114,$B$3))</f>
        <v/>
      </c>
      <c r="H114" s="7">
        <f>IF(E114="","",MIN(F114,$B$4))</f>
        <v/>
      </c>
      <c r="I114" s="5">
        <f>IF(OR(G114="",H114="",G114&gt;H114),0,NETWORKDAYS.INTL(G114,H114,1))</f>
        <v/>
      </c>
      <c r="J114" s="5">
        <f>IF(I114=0,0,D114/I114)</f>
        <v/>
      </c>
    </row>
    <row r="115">
      <c r="A115" s="6" t="n"/>
      <c r="B115" s="6" t="n"/>
      <c r="C115" s="6" t="n"/>
      <c r="D115" s="6" t="n"/>
      <c r="E115" s="7">
        <f>IF(C115="","",$B$5+(C115-1)*$B$6*7)</f>
        <v/>
      </c>
      <c r="F115" s="7">
        <f>IF(E115="","",E115+$B$6*7-1)</f>
        <v/>
      </c>
      <c r="G115" s="7">
        <f>IF(E115="","",MAX(E115,$B$3))</f>
        <v/>
      </c>
      <c r="H115" s="7">
        <f>IF(E115="","",MIN(F115,$B$4))</f>
        <v/>
      </c>
      <c r="I115" s="5">
        <f>IF(OR(G115="",H115="",G115&gt;H115),0,NETWORKDAYS.INTL(G115,H115,1))</f>
        <v/>
      </c>
      <c r="J115" s="5">
        <f>IF(I115=0,0,D115/I115)</f>
        <v/>
      </c>
    </row>
    <row r="116">
      <c r="A116" s="6" t="n"/>
      <c r="B116" s="6" t="n"/>
      <c r="C116" s="6" t="n"/>
      <c r="D116" s="6" t="n"/>
      <c r="E116" s="7">
        <f>IF(C116="","",$B$5+(C116-1)*$B$6*7)</f>
        <v/>
      </c>
      <c r="F116" s="7">
        <f>IF(E116="","",E116+$B$6*7-1)</f>
        <v/>
      </c>
      <c r="G116" s="7">
        <f>IF(E116="","",MAX(E116,$B$3))</f>
        <v/>
      </c>
      <c r="H116" s="7">
        <f>IF(E116="","",MIN(F116,$B$4))</f>
        <v/>
      </c>
      <c r="I116" s="5">
        <f>IF(OR(G116="",H116="",G116&gt;H116),0,NETWORKDAYS.INTL(G116,H116,1))</f>
        <v/>
      </c>
      <c r="J116" s="5">
        <f>IF(I116=0,0,D116/I116)</f>
        <v/>
      </c>
    </row>
    <row r="117">
      <c r="A117" s="6" t="n"/>
      <c r="B117" s="6" t="n"/>
      <c r="C117" s="6" t="n"/>
      <c r="D117" s="6" t="n"/>
      <c r="E117" s="7">
        <f>IF(C117="","",$B$5+(C117-1)*$B$6*7)</f>
        <v/>
      </c>
      <c r="F117" s="7">
        <f>IF(E117="","",E117+$B$6*7-1)</f>
        <v/>
      </c>
      <c r="G117" s="7">
        <f>IF(E117="","",MAX(E117,$B$3))</f>
        <v/>
      </c>
      <c r="H117" s="7">
        <f>IF(E117="","",MIN(F117,$B$4))</f>
        <v/>
      </c>
      <c r="I117" s="5">
        <f>IF(OR(G117="",H117="",G117&gt;H117),0,NETWORKDAYS.INTL(G117,H117,1))</f>
        <v/>
      </c>
      <c r="J117" s="5">
        <f>IF(I117=0,0,D117/I117)</f>
        <v/>
      </c>
    </row>
    <row r="118">
      <c r="A118" s="6" t="n"/>
      <c r="B118" s="6" t="n"/>
      <c r="C118" s="6" t="n"/>
      <c r="D118" s="6" t="n"/>
      <c r="E118" s="7">
        <f>IF(C118="","",$B$5+(C118-1)*$B$6*7)</f>
        <v/>
      </c>
      <c r="F118" s="7">
        <f>IF(E118="","",E118+$B$6*7-1)</f>
        <v/>
      </c>
      <c r="G118" s="7">
        <f>IF(E118="","",MAX(E118,$B$3))</f>
        <v/>
      </c>
      <c r="H118" s="7">
        <f>IF(E118="","",MIN(F118,$B$4))</f>
        <v/>
      </c>
      <c r="I118" s="5">
        <f>IF(OR(G118="",H118="",G118&gt;H118),0,NETWORKDAYS.INTL(G118,H118,1))</f>
        <v/>
      </c>
      <c r="J118" s="5">
        <f>IF(I118=0,0,D118/I118)</f>
        <v/>
      </c>
    </row>
    <row r="119">
      <c r="A119" s="6" t="n"/>
      <c r="B119" s="6" t="n"/>
      <c r="C119" s="6" t="n"/>
      <c r="D119" s="6" t="n"/>
      <c r="E119" s="7">
        <f>IF(C119="","",$B$5+(C119-1)*$B$6*7)</f>
        <v/>
      </c>
      <c r="F119" s="7">
        <f>IF(E119="","",E119+$B$6*7-1)</f>
        <v/>
      </c>
      <c r="G119" s="7">
        <f>IF(E119="","",MAX(E119,$B$3))</f>
        <v/>
      </c>
      <c r="H119" s="7">
        <f>IF(E119="","",MIN(F119,$B$4))</f>
        <v/>
      </c>
      <c r="I119" s="5">
        <f>IF(OR(G119="",H119="",G119&gt;H119),0,NETWORKDAYS.INTL(G119,H119,1))</f>
        <v/>
      </c>
      <c r="J119" s="5">
        <f>IF(I119=0,0,D119/I119)</f>
        <v/>
      </c>
    </row>
    <row r="120">
      <c r="A120" s="6" t="n"/>
      <c r="B120" s="6" t="n"/>
      <c r="C120" s="6" t="n"/>
      <c r="D120" s="6" t="n"/>
      <c r="E120" s="7">
        <f>IF(C120="","",$B$5+(C120-1)*$B$6*7)</f>
        <v/>
      </c>
      <c r="F120" s="7">
        <f>IF(E120="","",E120+$B$6*7-1)</f>
        <v/>
      </c>
      <c r="G120" s="7">
        <f>IF(E120="","",MAX(E120,$B$3))</f>
        <v/>
      </c>
      <c r="H120" s="7">
        <f>IF(E120="","",MIN(F120,$B$4))</f>
        <v/>
      </c>
      <c r="I120" s="5">
        <f>IF(OR(G120="",H120="",G120&gt;H120),0,NETWORKDAYS.INTL(G120,H120,1))</f>
        <v/>
      </c>
      <c r="J120" s="5">
        <f>IF(I120=0,0,D120/I120)</f>
        <v/>
      </c>
    </row>
    <row r="121">
      <c r="A121" s="6" t="n"/>
      <c r="B121" s="6" t="n"/>
      <c r="C121" s="6" t="n"/>
      <c r="D121" s="6" t="n"/>
      <c r="E121" s="7">
        <f>IF(C121="","",$B$5+(C121-1)*$B$6*7)</f>
        <v/>
      </c>
      <c r="F121" s="7">
        <f>IF(E121="","",E121+$B$6*7-1)</f>
        <v/>
      </c>
      <c r="G121" s="7">
        <f>IF(E121="","",MAX(E121,$B$3))</f>
        <v/>
      </c>
      <c r="H121" s="7">
        <f>IF(E121="","",MIN(F121,$B$4))</f>
        <v/>
      </c>
      <c r="I121" s="5">
        <f>IF(OR(G121="",H121="",G121&gt;H121),0,NETWORKDAYS.INTL(G121,H121,1))</f>
        <v/>
      </c>
      <c r="J121" s="5">
        <f>IF(I121=0,0,D121/I121)</f>
        <v/>
      </c>
    </row>
    <row r="122">
      <c r="A122" s="6" t="n"/>
      <c r="B122" s="6" t="n"/>
      <c r="C122" s="6" t="n"/>
      <c r="D122" s="6" t="n"/>
      <c r="E122" s="7">
        <f>IF(C122="","",$B$5+(C122-1)*$B$6*7)</f>
        <v/>
      </c>
      <c r="F122" s="7">
        <f>IF(E122="","",E122+$B$6*7-1)</f>
        <v/>
      </c>
      <c r="G122" s="7">
        <f>IF(E122="","",MAX(E122,$B$3))</f>
        <v/>
      </c>
      <c r="H122" s="7">
        <f>IF(E122="","",MIN(F122,$B$4))</f>
        <v/>
      </c>
      <c r="I122" s="5">
        <f>IF(OR(G122="",H122="",G122&gt;H122),0,NETWORKDAYS.INTL(G122,H122,1))</f>
        <v/>
      </c>
      <c r="J122" s="5">
        <f>IF(I122=0,0,D122/I122)</f>
        <v/>
      </c>
    </row>
    <row r="123">
      <c r="A123" s="6" t="n"/>
      <c r="B123" s="6" t="n"/>
      <c r="C123" s="6" t="n"/>
      <c r="D123" s="6" t="n"/>
      <c r="E123" s="7">
        <f>IF(C123="","",$B$5+(C123-1)*$B$6*7)</f>
        <v/>
      </c>
      <c r="F123" s="7">
        <f>IF(E123="","",E123+$B$6*7-1)</f>
        <v/>
      </c>
      <c r="G123" s="7">
        <f>IF(E123="","",MAX(E123,$B$3))</f>
        <v/>
      </c>
      <c r="H123" s="7">
        <f>IF(E123="","",MIN(F123,$B$4))</f>
        <v/>
      </c>
      <c r="I123" s="5">
        <f>IF(OR(G123="",H123="",G123&gt;H123),0,NETWORKDAYS.INTL(G123,H123,1))</f>
        <v/>
      </c>
      <c r="J123" s="5">
        <f>IF(I123=0,0,D123/I123)</f>
        <v/>
      </c>
    </row>
    <row r="124">
      <c r="A124" s="6" t="n"/>
      <c r="B124" s="6" t="n"/>
      <c r="C124" s="6" t="n"/>
      <c r="D124" s="6" t="n"/>
      <c r="E124" s="7">
        <f>IF(C124="","",$B$5+(C124-1)*$B$6*7)</f>
        <v/>
      </c>
      <c r="F124" s="7">
        <f>IF(E124="","",E124+$B$6*7-1)</f>
        <v/>
      </c>
      <c r="G124" s="7">
        <f>IF(E124="","",MAX(E124,$B$3))</f>
        <v/>
      </c>
      <c r="H124" s="7">
        <f>IF(E124="","",MIN(F124,$B$4))</f>
        <v/>
      </c>
      <c r="I124" s="5">
        <f>IF(OR(G124="",H124="",G124&gt;H124),0,NETWORKDAYS.INTL(G124,H124,1))</f>
        <v/>
      </c>
      <c r="J124" s="5">
        <f>IF(I124=0,0,D124/I124)</f>
        <v/>
      </c>
    </row>
    <row r="125">
      <c r="A125" s="6" t="n"/>
      <c r="B125" s="6" t="n"/>
      <c r="C125" s="6" t="n"/>
      <c r="D125" s="6" t="n"/>
      <c r="E125" s="7">
        <f>IF(C125="","",$B$5+(C125-1)*$B$6*7)</f>
        <v/>
      </c>
      <c r="F125" s="7">
        <f>IF(E125="","",E125+$B$6*7-1)</f>
        <v/>
      </c>
      <c r="G125" s="7">
        <f>IF(E125="","",MAX(E125,$B$3))</f>
        <v/>
      </c>
      <c r="H125" s="7">
        <f>IF(E125="","",MIN(F125,$B$4))</f>
        <v/>
      </c>
      <c r="I125" s="5">
        <f>IF(OR(G125="",H125="",G125&gt;H125),0,NETWORKDAYS.INTL(G125,H125,1))</f>
        <v/>
      </c>
      <c r="J125" s="5">
        <f>IF(I125=0,0,D125/I125)</f>
        <v/>
      </c>
    </row>
    <row r="126">
      <c r="A126" s="6" t="n"/>
      <c r="B126" s="6" t="n"/>
      <c r="C126" s="6" t="n"/>
      <c r="D126" s="6" t="n"/>
      <c r="E126" s="7">
        <f>IF(C126="","",$B$5+(C126-1)*$B$6*7)</f>
        <v/>
      </c>
      <c r="F126" s="7">
        <f>IF(E126="","",E126+$B$6*7-1)</f>
        <v/>
      </c>
      <c r="G126" s="7">
        <f>IF(E126="","",MAX(E126,$B$3))</f>
        <v/>
      </c>
      <c r="H126" s="7">
        <f>IF(E126="","",MIN(F126,$B$4))</f>
        <v/>
      </c>
      <c r="I126" s="5">
        <f>IF(OR(G126="",H126="",G126&gt;H126),0,NETWORKDAYS.INTL(G126,H126,1))</f>
        <v/>
      </c>
      <c r="J126" s="5">
        <f>IF(I126=0,0,D126/I126)</f>
        <v/>
      </c>
    </row>
    <row r="127">
      <c r="A127" s="6" t="n"/>
      <c r="B127" s="6" t="n"/>
      <c r="C127" s="6" t="n"/>
      <c r="D127" s="6" t="n"/>
      <c r="E127" s="7">
        <f>IF(C127="","",$B$5+(C127-1)*$B$6*7)</f>
        <v/>
      </c>
      <c r="F127" s="7">
        <f>IF(E127="","",E127+$B$6*7-1)</f>
        <v/>
      </c>
      <c r="G127" s="7">
        <f>IF(E127="","",MAX(E127,$B$3))</f>
        <v/>
      </c>
      <c r="H127" s="7">
        <f>IF(E127="","",MIN(F127,$B$4))</f>
        <v/>
      </c>
      <c r="I127" s="5">
        <f>IF(OR(G127="",H127="",G127&gt;H127),0,NETWORKDAYS.INTL(G127,H127,1))</f>
        <v/>
      </c>
      <c r="J127" s="5">
        <f>IF(I127=0,0,D127/I127)</f>
        <v/>
      </c>
    </row>
    <row r="128">
      <c r="A128" s="6" t="n"/>
      <c r="B128" s="6" t="n"/>
      <c r="C128" s="6" t="n"/>
      <c r="D128" s="6" t="n"/>
      <c r="E128" s="7">
        <f>IF(C128="","",$B$5+(C128-1)*$B$6*7)</f>
        <v/>
      </c>
      <c r="F128" s="7">
        <f>IF(E128="","",E128+$B$6*7-1)</f>
        <v/>
      </c>
      <c r="G128" s="7">
        <f>IF(E128="","",MAX(E128,$B$3))</f>
        <v/>
      </c>
      <c r="H128" s="7">
        <f>IF(E128="","",MIN(F128,$B$4))</f>
        <v/>
      </c>
      <c r="I128" s="5">
        <f>IF(OR(G128="",H128="",G128&gt;H128),0,NETWORKDAYS.INTL(G128,H128,1))</f>
        <v/>
      </c>
      <c r="J128" s="5">
        <f>IF(I128=0,0,D128/I128)</f>
        <v/>
      </c>
    </row>
    <row r="129">
      <c r="A129" s="6" t="n"/>
      <c r="B129" s="6" t="n"/>
      <c r="C129" s="6" t="n"/>
      <c r="D129" s="6" t="n"/>
      <c r="E129" s="7">
        <f>IF(C129="","",$B$5+(C129-1)*$B$6*7)</f>
        <v/>
      </c>
      <c r="F129" s="7">
        <f>IF(E129="","",E129+$B$6*7-1)</f>
        <v/>
      </c>
      <c r="G129" s="7">
        <f>IF(E129="","",MAX(E129,$B$3))</f>
        <v/>
      </c>
      <c r="H129" s="7">
        <f>IF(E129="","",MIN(F129,$B$4))</f>
        <v/>
      </c>
      <c r="I129" s="5">
        <f>IF(OR(G129="",H129="",G129&gt;H129),0,NETWORKDAYS.INTL(G129,H129,1))</f>
        <v/>
      </c>
      <c r="J129" s="5">
        <f>IF(I129=0,0,D129/I129)</f>
        <v/>
      </c>
    </row>
    <row r="130">
      <c r="A130" s="6" t="n"/>
      <c r="B130" s="6" t="n"/>
      <c r="C130" s="6" t="n"/>
      <c r="D130" s="6" t="n"/>
      <c r="E130" s="7">
        <f>IF(C130="","",$B$5+(C130-1)*$B$6*7)</f>
        <v/>
      </c>
      <c r="F130" s="7">
        <f>IF(E130="","",E130+$B$6*7-1)</f>
        <v/>
      </c>
      <c r="G130" s="7">
        <f>IF(E130="","",MAX(E130,$B$3))</f>
        <v/>
      </c>
      <c r="H130" s="7">
        <f>IF(E130="","",MIN(F130,$B$4))</f>
        <v/>
      </c>
      <c r="I130" s="5">
        <f>IF(OR(G130="",H130="",G130&gt;H130),0,NETWORKDAYS.INTL(G130,H130,1))</f>
        <v/>
      </c>
      <c r="J130" s="5">
        <f>IF(I130=0,0,D130/I130)</f>
        <v/>
      </c>
    </row>
    <row r="131">
      <c r="A131" s="6" t="n"/>
      <c r="B131" s="6" t="n"/>
      <c r="C131" s="6" t="n"/>
      <c r="D131" s="6" t="n"/>
      <c r="E131" s="7">
        <f>IF(C131="","",$B$5+(C131-1)*$B$6*7)</f>
        <v/>
      </c>
      <c r="F131" s="7">
        <f>IF(E131="","",E131+$B$6*7-1)</f>
        <v/>
      </c>
      <c r="G131" s="7">
        <f>IF(E131="","",MAX(E131,$B$3))</f>
        <v/>
      </c>
      <c r="H131" s="7">
        <f>IF(E131="","",MIN(F131,$B$4))</f>
        <v/>
      </c>
      <c r="I131" s="5">
        <f>IF(OR(G131="",H131="",G131&gt;H131),0,NETWORKDAYS.INTL(G131,H131,1))</f>
        <v/>
      </c>
      <c r="J131" s="5">
        <f>IF(I131=0,0,D131/I131)</f>
        <v/>
      </c>
    </row>
    <row r="132">
      <c r="A132" s="6" t="n"/>
      <c r="B132" s="6" t="n"/>
      <c r="C132" s="6" t="n"/>
      <c r="D132" s="6" t="n"/>
      <c r="E132" s="7">
        <f>IF(C132="","",$B$5+(C132-1)*$B$6*7)</f>
        <v/>
      </c>
      <c r="F132" s="7">
        <f>IF(E132="","",E132+$B$6*7-1)</f>
        <v/>
      </c>
      <c r="G132" s="7">
        <f>IF(E132="","",MAX(E132,$B$3))</f>
        <v/>
      </c>
      <c r="H132" s="7">
        <f>IF(E132="","",MIN(F132,$B$4))</f>
        <v/>
      </c>
      <c r="I132" s="5">
        <f>IF(OR(G132="",H132="",G132&gt;H132),0,NETWORKDAYS.INTL(G132,H132,1))</f>
        <v/>
      </c>
      <c r="J132" s="5">
        <f>IF(I132=0,0,D132/I132)</f>
        <v/>
      </c>
    </row>
    <row r="133">
      <c r="A133" s="6" t="n"/>
      <c r="B133" s="6" t="n"/>
      <c r="C133" s="6" t="n"/>
      <c r="D133" s="6" t="n"/>
      <c r="E133" s="7">
        <f>IF(C133="","",$B$5+(C133-1)*$B$6*7)</f>
        <v/>
      </c>
      <c r="F133" s="7">
        <f>IF(E133="","",E133+$B$6*7-1)</f>
        <v/>
      </c>
      <c r="G133" s="7">
        <f>IF(E133="","",MAX(E133,$B$3))</f>
        <v/>
      </c>
      <c r="H133" s="7">
        <f>IF(E133="","",MIN(F133,$B$4))</f>
        <v/>
      </c>
      <c r="I133" s="5">
        <f>IF(OR(G133="",H133="",G133&gt;H133),0,NETWORKDAYS.INTL(G133,H133,1))</f>
        <v/>
      </c>
      <c r="J133" s="5">
        <f>IF(I133=0,0,D133/I133)</f>
        <v/>
      </c>
    </row>
    <row r="134">
      <c r="A134" s="6" t="n"/>
      <c r="B134" s="6" t="n"/>
      <c r="C134" s="6" t="n"/>
      <c r="D134" s="6" t="n"/>
      <c r="E134" s="7">
        <f>IF(C134="","",$B$5+(C134-1)*$B$6*7)</f>
        <v/>
      </c>
      <c r="F134" s="7">
        <f>IF(E134="","",E134+$B$6*7-1)</f>
        <v/>
      </c>
      <c r="G134" s="7">
        <f>IF(E134="","",MAX(E134,$B$3))</f>
        <v/>
      </c>
      <c r="H134" s="7">
        <f>IF(E134="","",MIN(F134,$B$4))</f>
        <v/>
      </c>
      <c r="I134" s="5">
        <f>IF(OR(G134="",H134="",G134&gt;H134),0,NETWORKDAYS.INTL(G134,H134,1))</f>
        <v/>
      </c>
      <c r="J134" s="5">
        <f>IF(I134=0,0,D134/I134)</f>
        <v/>
      </c>
    </row>
    <row r="135">
      <c r="A135" s="6" t="n"/>
      <c r="B135" s="6" t="n"/>
      <c r="C135" s="6" t="n"/>
      <c r="D135" s="6" t="n"/>
      <c r="E135" s="7">
        <f>IF(C135="","",$B$5+(C135-1)*$B$6*7)</f>
        <v/>
      </c>
      <c r="F135" s="7">
        <f>IF(E135="","",E135+$B$6*7-1)</f>
        <v/>
      </c>
      <c r="G135" s="7">
        <f>IF(E135="","",MAX(E135,$B$3))</f>
        <v/>
      </c>
      <c r="H135" s="7">
        <f>IF(E135="","",MIN(F135,$B$4))</f>
        <v/>
      </c>
      <c r="I135" s="5">
        <f>IF(OR(G135="",H135="",G135&gt;H135),0,NETWORKDAYS.INTL(G135,H135,1))</f>
        <v/>
      </c>
      <c r="J135" s="5">
        <f>IF(I135=0,0,D135/I135)</f>
        <v/>
      </c>
    </row>
    <row r="136">
      <c r="A136" s="6" t="n"/>
      <c r="B136" s="6" t="n"/>
      <c r="C136" s="6" t="n"/>
      <c r="D136" s="6" t="n"/>
      <c r="E136" s="7">
        <f>IF(C136="","",$B$5+(C136-1)*$B$6*7)</f>
        <v/>
      </c>
      <c r="F136" s="7">
        <f>IF(E136="","",E136+$B$6*7-1)</f>
        <v/>
      </c>
      <c r="G136" s="7">
        <f>IF(E136="","",MAX(E136,$B$3))</f>
        <v/>
      </c>
      <c r="H136" s="7">
        <f>IF(E136="","",MIN(F136,$B$4))</f>
        <v/>
      </c>
      <c r="I136" s="5">
        <f>IF(OR(G136="",H136="",G136&gt;H136),0,NETWORKDAYS.INTL(G136,H136,1))</f>
        <v/>
      </c>
      <c r="J136" s="5">
        <f>IF(I136=0,0,D136/I136)</f>
        <v/>
      </c>
    </row>
    <row r="137">
      <c r="A137" s="6" t="n"/>
      <c r="B137" s="6" t="n"/>
      <c r="C137" s="6" t="n"/>
      <c r="D137" s="6" t="n"/>
      <c r="E137" s="7">
        <f>IF(C137="","",$B$5+(C137-1)*$B$6*7)</f>
        <v/>
      </c>
      <c r="F137" s="7">
        <f>IF(E137="","",E137+$B$6*7-1)</f>
        <v/>
      </c>
      <c r="G137" s="7">
        <f>IF(E137="","",MAX(E137,$B$3))</f>
        <v/>
      </c>
      <c r="H137" s="7">
        <f>IF(E137="","",MIN(F137,$B$4))</f>
        <v/>
      </c>
      <c r="I137" s="5">
        <f>IF(OR(G137="",H137="",G137&gt;H137),0,NETWORKDAYS.INTL(G137,H137,1))</f>
        <v/>
      </c>
      <c r="J137" s="5">
        <f>IF(I137=0,0,D137/I137)</f>
        <v/>
      </c>
    </row>
    <row r="138">
      <c r="A138" s="6" t="n"/>
      <c r="B138" s="6" t="n"/>
      <c r="C138" s="6" t="n"/>
      <c r="D138" s="6" t="n"/>
      <c r="E138" s="7">
        <f>IF(C138="","",$B$5+(C138-1)*$B$6*7)</f>
        <v/>
      </c>
      <c r="F138" s="7">
        <f>IF(E138="","",E138+$B$6*7-1)</f>
        <v/>
      </c>
      <c r="G138" s="7">
        <f>IF(E138="","",MAX(E138,$B$3))</f>
        <v/>
      </c>
      <c r="H138" s="7">
        <f>IF(E138="","",MIN(F138,$B$4))</f>
        <v/>
      </c>
      <c r="I138" s="5">
        <f>IF(OR(G138="",H138="",G138&gt;H138),0,NETWORKDAYS.INTL(G138,H138,1))</f>
        <v/>
      </c>
      <c r="J138" s="5">
        <f>IF(I138=0,0,D138/I138)</f>
        <v/>
      </c>
    </row>
    <row r="139">
      <c r="A139" s="6" t="n"/>
      <c r="B139" s="6" t="n"/>
      <c r="C139" s="6" t="n"/>
      <c r="D139" s="6" t="n"/>
      <c r="E139" s="7">
        <f>IF(C139="","",$B$5+(C139-1)*$B$6*7)</f>
        <v/>
      </c>
      <c r="F139" s="7">
        <f>IF(E139="","",E139+$B$6*7-1)</f>
        <v/>
      </c>
      <c r="G139" s="7">
        <f>IF(E139="","",MAX(E139,$B$3))</f>
        <v/>
      </c>
      <c r="H139" s="7">
        <f>IF(E139="","",MIN(F139,$B$4))</f>
        <v/>
      </c>
      <c r="I139" s="5">
        <f>IF(OR(G139="",H139="",G139&gt;H139),0,NETWORKDAYS.INTL(G139,H139,1))</f>
        <v/>
      </c>
      <c r="J139" s="5">
        <f>IF(I139=0,0,D139/I139)</f>
        <v/>
      </c>
    </row>
    <row r="140">
      <c r="A140" s="6" t="n"/>
      <c r="B140" s="6" t="n"/>
      <c r="C140" s="6" t="n"/>
      <c r="D140" s="6" t="n"/>
      <c r="E140" s="7">
        <f>IF(C140="","",$B$5+(C140-1)*$B$6*7)</f>
        <v/>
      </c>
      <c r="F140" s="7">
        <f>IF(E140="","",E140+$B$6*7-1)</f>
        <v/>
      </c>
      <c r="G140" s="7">
        <f>IF(E140="","",MAX(E140,$B$3))</f>
        <v/>
      </c>
      <c r="H140" s="7">
        <f>IF(E140="","",MIN(F140,$B$4))</f>
        <v/>
      </c>
      <c r="I140" s="5">
        <f>IF(OR(G140="",H140="",G140&gt;H140),0,NETWORKDAYS.INTL(G140,H140,1))</f>
        <v/>
      </c>
      <c r="J140" s="5">
        <f>IF(I140=0,0,D140/I140)</f>
        <v/>
      </c>
    </row>
    <row r="141">
      <c r="A141" s="6" t="n"/>
      <c r="B141" s="6" t="n"/>
      <c r="C141" s="6" t="n"/>
      <c r="D141" s="6" t="n"/>
      <c r="E141" s="7">
        <f>IF(C141="","",$B$5+(C141-1)*$B$6*7)</f>
        <v/>
      </c>
      <c r="F141" s="7">
        <f>IF(E141="","",E141+$B$6*7-1)</f>
        <v/>
      </c>
      <c r="G141" s="7">
        <f>IF(E141="","",MAX(E141,$B$3))</f>
        <v/>
      </c>
      <c r="H141" s="7">
        <f>IF(E141="","",MIN(F141,$B$4))</f>
        <v/>
      </c>
      <c r="I141" s="5">
        <f>IF(OR(G141="",H141="",G141&gt;H141),0,NETWORKDAYS.INTL(G141,H141,1))</f>
        <v/>
      </c>
      <c r="J141" s="5">
        <f>IF(I141=0,0,D141/I141)</f>
        <v/>
      </c>
    </row>
    <row r="142">
      <c r="A142" s="6" t="n"/>
      <c r="B142" s="6" t="n"/>
      <c r="C142" s="6" t="n"/>
      <c r="D142" s="6" t="n"/>
      <c r="E142" s="7">
        <f>IF(C142="","",$B$5+(C142-1)*$B$6*7)</f>
        <v/>
      </c>
      <c r="F142" s="7">
        <f>IF(E142="","",E142+$B$6*7-1)</f>
        <v/>
      </c>
      <c r="G142" s="7">
        <f>IF(E142="","",MAX(E142,$B$3))</f>
        <v/>
      </c>
      <c r="H142" s="7">
        <f>IF(E142="","",MIN(F142,$B$4))</f>
        <v/>
      </c>
      <c r="I142" s="5">
        <f>IF(OR(G142="",H142="",G142&gt;H142),0,NETWORKDAYS.INTL(G142,H142,1))</f>
        <v/>
      </c>
      <c r="J142" s="5">
        <f>IF(I142=0,0,D142/I142)</f>
        <v/>
      </c>
    </row>
    <row r="143">
      <c r="A143" s="6" t="n"/>
      <c r="B143" s="6" t="n"/>
      <c r="C143" s="6" t="n"/>
      <c r="D143" s="6" t="n"/>
      <c r="E143" s="7">
        <f>IF(C143="","",$B$5+(C143-1)*$B$6*7)</f>
        <v/>
      </c>
      <c r="F143" s="7">
        <f>IF(E143="","",E143+$B$6*7-1)</f>
        <v/>
      </c>
      <c r="G143" s="7">
        <f>IF(E143="","",MAX(E143,$B$3))</f>
        <v/>
      </c>
      <c r="H143" s="7">
        <f>IF(E143="","",MIN(F143,$B$4))</f>
        <v/>
      </c>
      <c r="I143" s="5">
        <f>IF(OR(G143="",H143="",G143&gt;H143),0,NETWORKDAYS.INTL(G143,H143,1))</f>
        <v/>
      </c>
      <c r="J143" s="5">
        <f>IF(I143=0,0,D143/I143)</f>
        <v/>
      </c>
    </row>
    <row r="144">
      <c r="A144" s="6" t="n"/>
      <c r="B144" s="6" t="n"/>
      <c r="C144" s="6" t="n"/>
      <c r="D144" s="6" t="n"/>
      <c r="E144" s="7">
        <f>IF(C144="","",$B$5+(C144-1)*$B$6*7)</f>
        <v/>
      </c>
      <c r="F144" s="7">
        <f>IF(E144="","",E144+$B$6*7-1)</f>
        <v/>
      </c>
      <c r="G144" s="7">
        <f>IF(E144="","",MAX(E144,$B$3))</f>
        <v/>
      </c>
      <c r="H144" s="7">
        <f>IF(E144="","",MIN(F144,$B$4))</f>
        <v/>
      </c>
      <c r="I144" s="5">
        <f>IF(OR(G144="",H144="",G144&gt;H144),0,NETWORKDAYS.INTL(G144,H144,1))</f>
        <v/>
      </c>
      <c r="J144" s="5">
        <f>IF(I144=0,0,D144/I144)</f>
        <v/>
      </c>
    </row>
    <row r="145">
      <c r="A145" s="6" t="n"/>
      <c r="B145" s="6" t="n"/>
      <c r="C145" s="6" t="n"/>
      <c r="D145" s="6" t="n"/>
      <c r="E145" s="7">
        <f>IF(C145="","",$B$5+(C145-1)*$B$6*7)</f>
        <v/>
      </c>
      <c r="F145" s="7">
        <f>IF(E145="","",E145+$B$6*7-1)</f>
        <v/>
      </c>
      <c r="G145" s="7">
        <f>IF(E145="","",MAX(E145,$B$3))</f>
        <v/>
      </c>
      <c r="H145" s="7">
        <f>IF(E145="","",MIN(F145,$B$4))</f>
        <v/>
      </c>
      <c r="I145" s="5">
        <f>IF(OR(G145="",H145="",G145&gt;H145),0,NETWORKDAYS.INTL(G145,H145,1))</f>
        <v/>
      </c>
      <c r="J145" s="5">
        <f>IF(I145=0,0,D145/I145)</f>
        <v/>
      </c>
    </row>
    <row r="146">
      <c r="A146" s="6" t="n"/>
      <c r="B146" s="6" t="n"/>
      <c r="C146" s="6" t="n"/>
      <c r="D146" s="6" t="n"/>
      <c r="E146" s="7">
        <f>IF(C146="","",$B$5+(C146-1)*$B$6*7)</f>
        <v/>
      </c>
      <c r="F146" s="7">
        <f>IF(E146="","",E146+$B$6*7-1)</f>
        <v/>
      </c>
      <c r="G146" s="7">
        <f>IF(E146="","",MAX(E146,$B$3))</f>
        <v/>
      </c>
      <c r="H146" s="7">
        <f>IF(E146="","",MIN(F146,$B$4))</f>
        <v/>
      </c>
      <c r="I146" s="5">
        <f>IF(OR(G146="",H146="",G146&gt;H146),0,NETWORKDAYS.INTL(G146,H146,1))</f>
        <v/>
      </c>
      <c r="J146" s="5">
        <f>IF(I146=0,0,D146/I146)</f>
        <v/>
      </c>
    </row>
    <row r="147">
      <c r="A147" s="6" t="n"/>
      <c r="B147" s="6" t="n"/>
      <c r="C147" s="6" t="n"/>
      <c r="D147" s="6" t="n"/>
      <c r="E147" s="7">
        <f>IF(C147="","",$B$5+(C147-1)*$B$6*7)</f>
        <v/>
      </c>
      <c r="F147" s="7">
        <f>IF(E147="","",E147+$B$6*7-1)</f>
        <v/>
      </c>
      <c r="G147" s="7">
        <f>IF(E147="","",MAX(E147,$B$3))</f>
        <v/>
      </c>
      <c r="H147" s="7">
        <f>IF(E147="","",MIN(F147,$B$4))</f>
        <v/>
      </c>
      <c r="I147" s="5">
        <f>IF(OR(G147="",H147="",G147&gt;H147),0,NETWORKDAYS.INTL(G147,H147,1))</f>
        <v/>
      </c>
      <c r="J147" s="5">
        <f>IF(I147=0,0,D147/I147)</f>
        <v/>
      </c>
    </row>
    <row r="148">
      <c r="A148" s="6" t="n"/>
      <c r="B148" s="6" t="n"/>
      <c r="C148" s="6" t="n"/>
      <c r="D148" s="6" t="n"/>
      <c r="E148" s="7">
        <f>IF(C148="","",$B$5+(C148-1)*$B$6*7)</f>
        <v/>
      </c>
      <c r="F148" s="7">
        <f>IF(E148="","",E148+$B$6*7-1)</f>
        <v/>
      </c>
      <c r="G148" s="7">
        <f>IF(E148="","",MAX(E148,$B$3))</f>
        <v/>
      </c>
      <c r="H148" s="7">
        <f>IF(E148="","",MIN(F148,$B$4))</f>
        <v/>
      </c>
      <c r="I148" s="5">
        <f>IF(OR(G148="",H148="",G148&gt;H148),0,NETWORKDAYS.INTL(G148,H148,1))</f>
        <v/>
      </c>
      <c r="J148" s="5">
        <f>IF(I148=0,0,D148/I148)</f>
        <v/>
      </c>
    </row>
    <row r="149">
      <c r="A149" s="6" t="n"/>
      <c r="B149" s="6" t="n"/>
      <c r="C149" s="6" t="n"/>
      <c r="D149" s="6" t="n"/>
      <c r="E149" s="7">
        <f>IF(C149="","",$B$5+(C149-1)*$B$6*7)</f>
        <v/>
      </c>
      <c r="F149" s="7">
        <f>IF(E149="","",E149+$B$6*7-1)</f>
        <v/>
      </c>
      <c r="G149" s="7">
        <f>IF(E149="","",MAX(E149,$B$3))</f>
        <v/>
      </c>
      <c r="H149" s="7">
        <f>IF(E149="","",MIN(F149,$B$4))</f>
        <v/>
      </c>
      <c r="I149" s="5">
        <f>IF(OR(G149="",H149="",G149&gt;H149),0,NETWORKDAYS.INTL(G149,H149,1))</f>
        <v/>
      </c>
      <c r="J149" s="5">
        <f>IF(I149=0,0,D149/I149)</f>
        <v/>
      </c>
    </row>
    <row r="150">
      <c r="A150" s="6" t="n"/>
      <c r="B150" s="6" t="n"/>
      <c r="C150" s="6" t="n"/>
      <c r="D150" s="6" t="n"/>
      <c r="E150" s="7">
        <f>IF(C150="","",$B$5+(C150-1)*$B$6*7)</f>
        <v/>
      </c>
      <c r="F150" s="7">
        <f>IF(E150="","",E150+$B$6*7-1)</f>
        <v/>
      </c>
      <c r="G150" s="7">
        <f>IF(E150="","",MAX(E150,$B$3))</f>
        <v/>
      </c>
      <c r="H150" s="7">
        <f>IF(E150="","",MIN(F150,$B$4))</f>
        <v/>
      </c>
      <c r="I150" s="5">
        <f>IF(OR(G150="",H150="",G150&gt;H150),0,NETWORKDAYS.INTL(G150,H150,1))</f>
        <v/>
      </c>
      <c r="J150" s="5">
        <f>IF(I150=0,0,D150/I150)</f>
        <v/>
      </c>
    </row>
    <row r="151">
      <c r="A151" s="6" t="n"/>
      <c r="B151" s="6" t="n"/>
      <c r="C151" s="6" t="n"/>
      <c r="D151" s="6" t="n"/>
      <c r="E151" s="7">
        <f>IF(C151="","",$B$5+(C151-1)*$B$6*7)</f>
        <v/>
      </c>
      <c r="F151" s="7">
        <f>IF(E151="","",E151+$B$6*7-1)</f>
        <v/>
      </c>
      <c r="G151" s="7">
        <f>IF(E151="","",MAX(E151,$B$3))</f>
        <v/>
      </c>
      <c r="H151" s="7">
        <f>IF(E151="","",MIN(F151,$B$4))</f>
        <v/>
      </c>
      <c r="I151" s="5">
        <f>IF(OR(G151="",H151="",G151&gt;H151),0,NETWORKDAYS.INTL(G151,H151,1))</f>
        <v/>
      </c>
      <c r="J151" s="5">
        <f>IF(I151=0,0,D151/I151)</f>
        <v/>
      </c>
    </row>
    <row r="152">
      <c r="A152" s="6" t="n"/>
      <c r="B152" s="6" t="n"/>
      <c r="C152" s="6" t="n"/>
      <c r="D152" s="6" t="n"/>
      <c r="E152" s="7">
        <f>IF(C152="","",$B$5+(C152-1)*$B$6*7)</f>
        <v/>
      </c>
      <c r="F152" s="7">
        <f>IF(E152="","",E152+$B$6*7-1)</f>
        <v/>
      </c>
      <c r="G152" s="7">
        <f>IF(E152="","",MAX(E152,$B$3))</f>
        <v/>
      </c>
      <c r="H152" s="7">
        <f>IF(E152="","",MIN(F152,$B$4))</f>
        <v/>
      </c>
      <c r="I152" s="5">
        <f>IF(OR(G152="",H152="",G152&gt;H152),0,NETWORKDAYS.INTL(G152,H152,1))</f>
        <v/>
      </c>
      <c r="J152" s="5">
        <f>IF(I152=0,0,D152/I152)</f>
        <v/>
      </c>
    </row>
    <row r="153">
      <c r="A153" s="6" t="n"/>
      <c r="B153" s="6" t="n"/>
      <c r="C153" s="6" t="n"/>
      <c r="D153" s="6" t="n"/>
      <c r="E153" s="7">
        <f>IF(C153="","",$B$5+(C153-1)*$B$6*7)</f>
        <v/>
      </c>
      <c r="F153" s="7">
        <f>IF(E153="","",E153+$B$6*7-1)</f>
        <v/>
      </c>
      <c r="G153" s="7">
        <f>IF(E153="","",MAX(E153,$B$3))</f>
        <v/>
      </c>
      <c r="H153" s="7">
        <f>IF(E153="","",MIN(F153,$B$4))</f>
        <v/>
      </c>
      <c r="I153" s="5">
        <f>IF(OR(G153="",H153="",G153&gt;H153),0,NETWORKDAYS.INTL(G153,H153,1))</f>
        <v/>
      </c>
      <c r="J153" s="5">
        <f>IF(I153=0,0,D153/I153)</f>
        <v/>
      </c>
    </row>
    <row r="154">
      <c r="A154" s="6" t="n"/>
      <c r="B154" s="6" t="n"/>
      <c r="C154" s="6" t="n"/>
      <c r="D154" s="6" t="n"/>
      <c r="E154" s="7">
        <f>IF(C154="","",$B$5+(C154-1)*$B$6*7)</f>
        <v/>
      </c>
      <c r="F154" s="7">
        <f>IF(E154="","",E154+$B$6*7-1)</f>
        <v/>
      </c>
      <c r="G154" s="7">
        <f>IF(E154="","",MAX(E154,$B$3))</f>
        <v/>
      </c>
      <c r="H154" s="7">
        <f>IF(E154="","",MIN(F154,$B$4))</f>
        <v/>
      </c>
      <c r="I154" s="5">
        <f>IF(OR(G154="",H154="",G154&gt;H154),0,NETWORKDAYS.INTL(G154,H154,1))</f>
        <v/>
      </c>
      <c r="J154" s="5">
        <f>IF(I154=0,0,D154/I154)</f>
        <v/>
      </c>
    </row>
    <row r="155">
      <c r="A155" s="6" t="n"/>
      <c r="B155" s="6" t="n"/>
      <c r="C155" s="6" t="n"/>
      <c r="D155" s="6" t="n"/>
      <c r="E155" s="7">
        <f>IF(C155="","",$B$5+(C155-1)*$B$6*7)</f>
        <v/>
      </c>
      <c r="F155" s="7">
        <f>IF(E155="","",E155+$B$6*7-1)</f>
        <v/>
      </c>
      <c r="G155" s="7">
        <f>IF(E155="","",MAX(E155,$B$3))</f>
        <v/>
      </c>
      <c r="H155" s="7">
        <f>IF(E155="","",MIN(F155,$B$4))</f>
        <v/>
      </c>
      <c r="I155" s="5">
        <f>IF(OR(G155="",H155="",G155&gt;H155),0,NETWORKDAYS.INTL(G155,H155,1))</f>
        <v/>
      </c>
      <c r="J155" s="5">
        <f>IF(I155=0,0,D155/I155)</f>
        <v/>
      </c>
    </row>
    <row r="156">
      <c r="A156" s="6" t="n"/>
      <c r="B156" s="6" t="n"/>
      <c r="C156" s="6" t="n"/>
      <c r="D156" s="6" t="n"/>
      <c r="E156" s="7">
        <f>IF(C156="","",$B$5+(C156-1)*$B$6*7)</f>
        <v/>
      </c>
      <c r="F156" s="7">
        <f>IF(E156="","",E156+$B$6*7-1)</f>
        <v/>
      </c>
      <c r="G156" s="7">
        <f>IF(E156="","",MAX(E156,$B$3))</f>
        <v/>
      </c>
      <c r="H156" s="7">
        <f>IF(E156="","",MIN(F156,$B$4))</f>
        <v/>
      </c>
      <c r="I156" s="5">
        <f>IF(OR(G156="",H156="",G156&gt;H156),0,NETWORKDAYS.INTL(G156,H156,1))</f>
        <v/>
      </c>
      <c r="J156" s="5">
        <f>IF(I156=0,0,D156/I156)</f>
        <v/>
      </c>
    </row>
    <row r="157">
      <c r="A157" s="6" t="n"/>
      <c r="B157" s="6" t="n"/>
      <c r="C157" s="6" t="n"/>
      <c r="D157" s="6" t="n"/>
      <c r="E157" s="7">
        <f>IF(C157="","",$B$5+(C157-1)*$B$6*7)</f>
        <v/>
      </c>
      <c r="F157" s="7">
        <f>IF(E157="","",E157+$B$6*7-1)</f>
        <v/>
      </c>
      <c r="G157" s="7">
        <f>IF(E157="","",MAX(E157,$B$3))</f>
        <v/>
      </c>
      <c r="H157" s="7">
        <f>IF(E157="","",MIN(F157,$B$4))</f>
        <v/>
      </c>
      <c r="I157" s="5">
        <f>IF(OR(G157="",H157="",G157&gt;H157),0,NETWORKDAYS.INTL(G157,H157,1))</f>
        <v/>
      </c>
      <c r="J157" s="5">
        <f>IF(I157=0,0,D157/I157)</f>
        <v/>
      </c>
    </row>
    <row r="158">
      <c r="A158" s="6" t="n"/>
      <c r="B158" s="6" t="n"/>
      <c r="C158" s="6" t="n"/>
      <c r="D158" s="6" t="n"/>
      <c r="E158" s="7">
        <f>IF(C158="","",$B$5+(C158-1)*$B$6*7)</f>
        <v/>
      </c>
      <c r="F158" s="7">
        <f>IF(E158="","",E158+$B$6*7-1)</f>
        <v/>
      </c>
      <c r="G158" s="7">
        <f>IF(E158="","",MAX(E158,$B$3))</f>
        <v/>
      </c>
      <c r="H158" s="7">
        <f>IF(E158="","",MIN(F158,$B$4))</f>
        <v/>
      </c>
      <c r="I158" s="5">
        <f>IF(OR(G158="",H158="",G158&gt;H158),0,NETWORKDAYS.INTL(G158,H158,1))</f>
        <v/>
      </c>
      <c r="J158" s="5">
        <f>IF(I158=0,0,D158/I158)</f>
        <v/>
      </c>
    </row>
    <row r="159">
      <c r="A159" s="6" t="n"/>
      <c r="B159" s="6" t="n"/>
      <c r="C159" s="6" t="n"/>
      <c r="D159" s="6" t="n"/>
      <c r="E159" s="7">
        <f>IF(C159="","",$B$5+(C159-1)*$B$6*7)</f>
        <v/>
      </c>
      <c r="F159" s="7">
        <f>IF(E159="","",E159+$B$6*7-1)</f>
        <v/>
      </c>
      <c r="G159" s="7">
        <f>IF(E159="","",MAX(E159,$B$3))</f>
        <v/>
      </c>
      <c r="H159" s="7">
        <f>IF(E159="","",MIN(F159,$B$4))</f>
        <v/>
      </c>
      <c r="I159" s="5">
        <f>IF(OR(G159="",H159="",G159&gt;H159),0,NETWORKDAYS.INTL(G159,H159,1))</f>
        <v/>
      </c>
      <c r="J159" s="5">
        <f>IF(I159=0,0,D159/I159)</f>
        <v/>
      </c>
    </row>
    <row r="160">
      <c r="A160" s="6" t="n"/>
      <c r="B160" s="6" t="n"/>
      <c r="C160" s="6" t="n"/>
      <c r="D160" s="6" t="n"/>
      <c r="E160" s="7">
        <f>IF(C160="","",$B$5+(C160-1)*$B$6*7)</f>
        <v/>
      </c>
      <c r="F160" s="7">
        <f>IF(E160="","",E160+$B$6*7-1)</f>
        <v/>
      </c>
      <c r="G160" s="7">
        <f>IF(E160="","",MAX(E160,$B$3))</f>
        <v/>
      </c>
      <c r="H160" s="7">
        <f>IF(E160="","",MIN(F160,$B$4))</f>
        <v/>
      </c>
      <c r="I160" s="5">
        <f>IF(OR(G160="",H160="",G160&gt;H160),0,NETWORKDAYS.INTL(G160,H160,1))</f>
        <v/>
      </c>
      <c r="J160" s="5">
        <f>IF(I160=0,0,D160/I160)</f>
        <v/>
      </c>
    </row>
    <row r="161">
      <c r="A161" s="6" t="n"/>
      <c r="B161" s="6" t="n"/>
      <c r="C161" s="6" t="n"/>
      <c r="D161" s="6" t="n"/>
      <c r="E161" s="7">
        <f>IF(C161="","",$B$5+(C161-1)*$B$6*7)</f>
        <v/>
      </c>
      <c r="F161" s="7">
        <f>IF(E161="","",E161+$B$6*7-1)</f>
        <v/>
      </c>
      <c r="G161" s="7">
        <f>IF(E161="","",MAX(E161,$B$3))</f>
        <v/>
      </c>
      <c r="H161" s="7">
        <f>IF(E161="","",MIN(F161,$B$4))</f>
        <v/>
      </c>
      <c r="I161" s="5">
        <f>IF(OR(G161="",H161="",G161&gt;H161),0,NETWORKDAYS.INTL(G161,H161,1))</f>
        <v/>
      </c>
      <c r="J161" s="5">
        <f>IF(I161=0,0,D161/I161)</f>
        <v/>
      </c>
    </row>
    <row r="162">
      <c r="A162" s="6" t="n"/>
      <c r="B162" s="6" t="n"/>
      <c r="C162" s="6" t="n"/>
      <c r="D162" s="6" t="n"/>
      <c r="E162" s="7">
        <f>IF(C162="","",$B$5+(C162-1)*$B$6*7)</f>
        <v/>
      </c>
      <c r="F162" s="7">
        <f>IF(E162="","",E162+$B$6*7-1)</f>
        <v/>
      </c>
      <c r="G162" s="7">
        <f>IF(E162="","",MAX(E162,$B$3))</f>
        <v/>
      </c>
      <c r="H162" s="7">
        <f>IF(E162="","",MIN(F162,$B$4))</f>
        <v/>
      </c>
      <c r="I162" s="5">
        <f>IF(OR(G162="",H162="",G162&gt;H162),0,NETWORKDAYS.INTL(G162,H162,1))</f>
        <v/>
      </c>
      <c r="J162" s="5">
        <f>IF(I162=0,0,D162/I162)</f>
        <v/>
      </c>
    </row>
    <row r="163">
      <c r="A163" s="6" t="n"/>
      <c r="B163" s="6" t="n"/>
      <c r="C163" s="6" t="n"/>
      <c r="D163" s="6" t="n"/>
      <c r="E163" s="7">
        <f>IF(C163="","",$B$5+(C163-1)*$B$6*7)</f>
        <v/>
      </c>
      <c r="F163" s="7">
        <f>IF(E163="","",E163+$B$6*7-1)</f>
        <v/>
      </c>
      <c r="G163" s="7">
        <f>IF(E163="","",MAX(E163,$B$3))</f>
        <v/>
      </c>
      <c r="H163" s="7">
        <f>IF(E163="","",MIN(F163,$B$4))</f>
        <v/>
      </c>
      <c r="I163" s="5">
        <f>IF(OR(G163="",H163="",G163&gt;H163),0,NETWORKDAYS.INTL(G163,H163,1))</f>
        <v/>
      </c>
      <c r="J163" s="5">
        <f>IF(I163=0,0,D163/I163)</f>
        <v/>
      </c>
    </row>
    <row r="164">
      <c r="A164" s="6" t="n"/>
      <c r="B164" s="6" t="n"/>
      <c r="C164" s="6" t="n"/>
      <c r="D164" s="6" t="n"/>
      <c r="E164" s="7">
        <f>IF(C164="","",$B$5+(C164-1)*$B$6*7)</f>
        <v/>
      </c>
      <c r="F164" s="7">
        <f>IF(E164="","",E164+$B$6*7-1)</f>
        <v/>
      </c>
      <c r="G164" s="7">
        <f>IF(E164="","",MAX(E164,$B$3))</f>
        <v/>
      </c>
      <c r="H164" s="7">
        <f>IF(E164="","",MIN(F164,$B$4))</f>
        <v/>
      </c>
      <c r="I164" s="5">
        <f>IF(OR(G164="",H164="",G164&gt;H164),0,NETWORKDAYS.INTL(G164,H164,1))</f>
        <v/>
      </c>
      <c r="J164" s="5">
        <f>IF(I164=0,0,D164/I164)</f>
        <v/>
      </c>
    </row>
    <row r="165">
      <c r="A165" s="6" t="n"/>
      <c r="B165" s="6" t="n"/>
      <c r="C165" s="6" t="n"/>
      <c r="D165" s="6" t="n"/>
      <c r="E165" s="7">
        <f>IF(C165="","",$B$5+(C165-1)*$B$6*7)</f>
        <v/>
      </c>
      <c r="F165" s="7">
        <f>IF(E165="","",E165+$B$6*7-1)</f>
        <v/>
      </c>
      <c r="G165" s="7">
        <f>IF(E165="","",MAX(E165,$B$3))</f>
        <v/>
      </c>
      <c r="H165" s="7">
        <f>IF(E165="","",MIN(F165,$B$4))</f>
        <v/>
      </c>
      <c r="I165" s="5">
        <f>IF(OR(G165="",H165="",G165&gt;H165),0,NETWORKDAYS.INTL(G165,H165,1))</f>
        <v/>
      </c>
      <c r="J165" s="5">
        <f>IF(I165=0,0,D165/I165)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9" customWidth="1" min="4" max="4"/>
    <col width="8" customWidth="1" min="5" max="5"/>
    <col width="10" customWidth="1" min="6" max="6"/>
    <col width="11" customWidth="1" min="7" max="7"/>
    <col width="12" customWidth="1" min="8" max="8"/>
    <col width="12" customWidth="1" min="9" max="9"/>
    <col width="11" customWidth="1" min="10" max="10"/>
    <col width="12" customWidth="1" min="11" max="11"/>
    <col width="11" customWidth="1" min="12" max="12"/>
  </cols>
  <sheetData>
    <row r="1">
      <c r="A1" s="4" t="inlineStr">
        <is>
          <t>Datum</t>
        </is>
      </c>
      <c r="B1" s="4" t="inlineStr">
        <is>
          <t>ISO</t>
        </is>
      </c>
      <c r="C1" s="4" t="inlineStr">
        <is>
          <t>Wochentag</t>
        </is>
      </c>
      <c r="D1" s="4" t="inlineStr">
        <is>
          <t>MonatKey</t>
        </is>
      </c>
      <c r="E1" s="4" t="inlineStr">
        <is>
          <t>SprintNr</t>
        </is>
      </c>
      <c r="F1" s="4" t="inlineStr">
        <is>
          <t>Geplant h</t>
        </is>
      </c>
      <c r="G1" s="4" t="inlineStr">
        <is>
          <t>Kumuliert h</t>
        </is>
      </c>
      <c r="H1" s="4" t="inlineStr">
        <is>
          <t>Rest Gesamt h</t>
        </is>
      </c>
      <c r="I1" s="4" t="inlineStr">
        <is>
          <t>Rest Monat h</t>
        </is>
      </c>
      <c r="J1" s="4" t="inlineStr">
        <is>
          <t>Sprint Cap h</t>
        </is>
      </c>
      <c r="K1" s="4" t="inlineStr">
        <is>
          <t>Rest Sprint h</t>
        </is>
      </c>
      <c r="L1" s="4" t="inlineStr">
        <is>
          <t>Status</t>
        </is>
      </c>
    </row>
    <row r="2">
      <c r="A2" s="7">
        <f>IF(ROW()-1&lt;=Eingabe!$B$4-Eingabe!$B$3+1,Eingabe!$B$3+ROW()-2,"")</f>
        <v/>
      </c>
      <c r="B2" s="5">
        <f>IF(A2="","",TEXT(A2,"yyyy-mm-dd"))</f>
        <v/>
      </c>
      <c r="C2" s="5">
        <f>IF(A2="","",TEXT(A2,"ddd"))</f>
        <v/>
      </c>
      <c r="D2" s="5">
        <f>IF(A2="","",TEXT(A2,"yyyy-mm"))</f>
        <v/>
      </c>
      <c r="E2" s="5">
        <f>IF(A2="","",IF(A2&lt;Eingabe!$B$5,"",INT((A2-Eingabe!$B$5)/(Eingabe!$B$6*7))+1))</f>
        <v/>
      </c>
      <c r="F2" s="8">
        <f>IF(A2="","",SUMPRODUCT((Eingabe!$B$16:$B$165&lt;&gt;"")*(Eingabe!$J$16:$J$165)*--(A2&gt;=Eingabe!$G$16:$G$165)*--(A2&lt;=Eingabe!$H$16:$H$165)*--(WEEKDAY(A2,2)&lt;=5)))</f>
        <v/>
      </c>
      <c r="G2" s="8">
        <f>IF(A2="","",SUM($F$2:F2))</f>
        <v/>
      </c>
      <c r="H2" s="8">
        <f>IF(A2="","",Eingabe!$B$7-G2)</f>
        <v/>
      </c>
      <c r="I2" s="8">
        <f>IF(A2="","",Eingabe!$B$8-SUMIFS($F$2:F2,$D$2:D2,D2))</f>
        <v/>
      </c>
      <c r="J2" s="8">
        <f>IF(A2="","",IF(E2="",1E+99,IFERROR(VLOOKUP(E2,Eingabe!$D$5:$E$44,2,FALSE),Eingabe!$B$9)))</f>
        <v/>
      </c>
      <c r="K2" s="8">
        <f>IF(A2="","",IF(E2="",1E+99,J2-SUMIFS($F$2:F2,$E$2:E2,E2)))</f>
        <v/>
      </c>
      <c r="L2" s="5">
        <f>IF(A2="","",IF(OR(H2&lt;0,I2&lt;0,K2&lt;0),"UNMOEGLICH","OK"))</f>
        <v/>
      </c>
    </row>
    <row r="3">
      <c r="A3" s="7">
        <f>IF(ROW()-1&lt;=Eingabe!$B$4-Eingabe!$B$3+1,Eingabe!$B$3+ROW()-2,"")</f>
        <v/>
      </c>
      <c r="B3" s="5">
        <f>IF(A3="","",TEXT(A3,"yyyy-mm-dd"))</f>
        <v/>
      </c>
      <c r="C3" s="5">
        <f>IF(A3="","",TEXT(A3,"ddd"))</f>
        <v/>
      </c>
      <c r="D3" s="5">
        <f>IF(A3="","",TEXT(A3,"yyyy-mm"))</f>
        <v/>
      </c>
      <c r="E3" s="5">
        <f>IF(A3="","",IF(A3&lt;Eingabe!$B$5,"",INT((A3-Eingabe!$B$5)/(Eingabe!$B$6*7))+1))</f>
        <v/>
      </c>
      <c r="F3" s="8">
        <f>IF(A3="","",SUMPRODUCT((Eingabe!$B$16:$B$165&lt;&gt;"")*(Eingabe!$J$16:$J$165)*--(A3&gt;=Eingabe!$G$16:$G$165)*--(A3&lt;=Eingabe!$H$16:$H$165)*--(WEEKDAY(A3,2)&lt;=5)))</f>
        <v/>
      </c>
      <c r="G3" s="8">
        <f>IF(A3="","",SUM($F$2:F3))</f>
        <v/>
      </c>
      <c r="H3" s="8">
        <f>IF(A3="","",Eingabe!$B$7-G3)</f>
        <v/>
      </c>
      <c r="I3" s="8">
        <f>IF(A3="","",Eingabe!$B$8-SUMIFS($F$2:F3,$D$2:D3,D3))</f>
        <v/>
      </c>
      <c r="J3" s="8">
        <f>IF(A3="","",IF(E3="",1E+99,IFERROR(VLOOKUP(E3,Eingabe!$D$5:$E$44,2,FALSE),Eingabe!$B$9)))</f>
        <v/>
      </c>
      <c r="K3" s="8">
        <f>IF(A3="","",IF(E3="",1E+99,J3-SUMIFS($F$2:F3,$E$2:E3,E3)))</f>
        <v/>
      </c>
      <c r="L3" s="5">
        <f>IF(A3="","",IF(OR(H3&lt;0,I3&lt;0,K3&lt;0),"UNMOEGLICH","OK"))</f>
        <v/>
      </c>
    </row>
    <row r="4">
      <c r="A4" s="7">
        <f>IF(ROW()-1&lt;=Eingabe!$B$4-Eingabe!$B$3+1,Eingabe!$B$3+ROW()-2,"")</f>
        <v/>
      </c>
      <c r="B4" s="5">
        <f>IF(A4="","",TEXT(A4,"yyyy-mm-dd"))</f>
        <v/>
      </c>
      <c r="C4" s="5">
        <f>IF(A4="","",TEXT(A4,"ddd"))</f>
        <v/>
      </c>
      <c r="D4" s="5">
        <f>IF(A4="","",TEXT(A4,"yyyy-mm"))</f>
        <v/>
      </c>
      <c r="E4" s="5">
        <f>IF(A4="","",IF(A4&lt;Eingabe!$B$5,"",INT((A4-Eingabe!$B$5)/(Eingabe!$B$6*7))+1))</f>
        <v/>
      </c>
      <c r="F4" s="8">
        <f>IF(A4="","",SUMPRODUCT((Eingabe!$B$16:$B$165&lt;&gt;"")*(Eingabe!$J$16:$J$165)*--(A4&gt;=Eingabe!$G$16:$G$165)*--(A4&lt;=Eingabe!$H$16:$H$165)*--(WEEKDAY(A4,2)&lt;=5)))</f>
        <v/>
      </c>
      <c r="G4" s="8">
        <f>IF(A4="","",SUM($F$2:F4))</f>
        <v/>
      </c>
      <c r="H4" s="8">
        <f>IF(A4="","",Eingabe!$B$7-G4)</f>
        <v/>
      </c>
      <c r="I4" s="8">
        <f>IF(A4="","",Eingabe!$B$8-SUMIFS($F$2:F4,$D$2:D4,D4))</f>
        <v/>
      </c>
      <c r="J4" s="8">
        <f>IF(A4="","",IF(E4="",1E+99,IFERROR(VLOOKUP(E4,Eingabe!$D$5:$E$44,2,FALSE),Eingabe!$B$9)))</f>
        <v/>
      </c>
      <c r="K4" s="8">
        <f>IF(A4="","",IF(E4="",1E+99,J4-SUMIFS($F$2:F4,$E$2:E4,E4)))</f>
        <v/>
      </c>
      <c r="L4" s="5">
        <f>IF(A4="","",IF(OR(H4&lt;0,I4&lt;0,K4&lt;0),"UNMOEGLICH","OK"))</f>
        <v/>
      </c>
    </row>
    <row r="5">
      <c r="A5" s="7">
        <f>IF(ROW()-1&lt;=Eingabe!$B$4-Eingabe!$B$3+1,Eingabe!$B$3+ROW()-2,"")</f>
        <v/>
      </c>
      <c r="B5" s="5">
        <f>IF(A5="","",TEXT(A5,"yyyy-mm-dd"))</f>
        <v/>
      </c>
      <c r="C5" s="5">
        <f>IF(A5="","",TEXT(A5,"ddd"))</f>
        <v/>
      </c>
      <c r="D5" s="5">
        <f>IF(A5="","",TEXT(A5,"yyyy-mm"))</f>
        <v/>
      </c>
      <c r="E5" s="5">
        <f>IF(A5="","",IF(A5&lt;Eingabe!$B$5,"",INT((A5-Eingabe!$B$5)/(Eingabe!$B$6*7))+1))</f>
        <v/>
      </c>
      <c r="F5" s="8">
        <f>IF(A5="","",SUMPRODUCT((Eingabe!$B$16:$B$165&lt;&gt;"")*(Eingabe!$J$16:$J$165)*--(A5&gt;=Eingabe!$G$16:$G$165)*--(A5&lt;=Eingabe!$H$16:$H$165)*--(WEEKDAY(A5,2)&lt;=5)))</f>
        <v/>
      </c>
      <c r="G5" s="8">
        <f>IF(A5="","",SUM($F$2:F5))</f>
        <v/>
      </c>
      <c r="H5" s="8">
        <f>IF(A5="","",Eingabe!$B$7-G5)</f>
        <v/>
      </c>
      <c r="I5" s="8">
        <f>IF(A5="","",Eingabe!$B$8-SUMIFS($F$2:F5,$D$2:D5,D5))</f>
        <v/>
      </c>
      <c r="J5" s="8">
        <f>IF(A5="","",IF(E5="",1E+99,IFERROR(VLOOKUP(E5,Eingabe!$D$5:$E$44,2,FALSE),Eingabe!$B$9)))</f>
        <v/>
      </c>
      <c r="K5" s="8">
        <f>IF(A5="","",IF(E5="",1E+99,J5-SUMIFS($F$2:F5,$E$2:E5,E5)))</f>
        <v/>
      </c>
      <c r="L5" s="5">
        <f>IF(A5="","",IF(OR(H5&lt;0,I5&lt;0,K5&lt;0),"UNMOEGLICH","OK"))</f>
        <v/>
      </c>
    </row>
    <row r="6">
      <c r="A6" s="7">
        <f>IF(ROW()-1&lt;=Eingabe!$B$4-Eingabe!$B$3+1,Eingabe!$B$3+ROW()-2,"")</f>
        <v/>
      </c>
      <c r="B6" s="5">
        <f>IF(A6="","",TEXT(A6,"yyyy-mm-dd"))</f>
        <v/>
      </c>
      <c r="C6" s="5">
        <f>IF(A6="","",TEXT(A6,"ddd"))</f>
        <v/>
      </c>
      <c r="D6" s="5">
        <f>IF(A6="","",TEXT(A6,"yyyy-mm"))</f>
        <v/>
      </c>
      <c r="E6" s="5">
        <f>IF(A6="","",IF(A6&lt;Eingabe!$B$5,"",INT((A6-Eingabe!$B$5)/(Eingabe!$B$6*7))+1))</f>
        <v/>
      </c>
      <c r="F6" s="8">
        <f>IF(A6="","",SUMPRODUCT((Eingabe!$B$16:$B$165&lt;&gt;"")*(Eingabe!$J$16:$J$165)*--(A6&gt;=Eingabe!$G$16:$G$165)*--(A6&lt;=Eingabe!$H$16:$H$165)*--(WEEKDAY(A6,2)&lt;=5)))</f>
        <v/>
      </c>
      <c r="G6" s="8">
        <f>IF(A6="","",SUM($F$2:F6))</f>
        <v/>
      </c>
      <c r="H6" s="8">
        <f>IF(A6="","",Eingabe!$B$7-G6)</f>
        <v/>
      </c>
      <c r="I6" s="8">
        <f>IF(A6="","",Eingabe!$B$8-SUMIFS($F$2:F6,$D$2:D6,D6))</f>
        <v/>
      </c>
      <c r="J6" s="8">
        <f>IF(A6="","",IF(E6="",1E+99,IFERROR(VLOOKUP(E6,Eingabe!$D$5:$E$44,2,FALSE),Eingabe!$B$9)))</f>
        <v/>
      </c>
      <c r="K6" s="8">
        <f>IF(A6="","",IF(E6="",1E+99,J6-SUMIFS($F$2:F6,$E$2:E6,E6)))</f>
        <v/>
      </c>
      <c r="L6" s="5">
        <f>IF(A6="","",IF(OR(H6&lt;0,I6&lt;0,K6&lt;0),"UNMOEGLICH","OK"))</f>
        <v/>
      </c>
    </row>
    <row r="7">
      <c r="A7" s="7">
        <f>IF(ROW()-1&lt;=Eingabe!$B$4-Eingabe!$B$3+1,Eingabe!$B$3+ROW()-2,"")</f>
        <v/>
      </c>
      <c r="B7" s="5">
        <f>IF(A7="","",TEXT(A7,"yyyy-mm-dd"))</f>
        <v/>
      </c>
      <c r="C7" s="5">
        <f>IF(A7="","",TEXT(A7,"ddd"))</f>
        <v/>
      </c>
      <c r="D7" s="5">
        <f>IF(A7="","",TEXT(A7,"yyyy-mm"))</f>
        <v/>
      </c>
      <c r="E7" s="5">
        <f>IF(A7="","",IF(A7&lt;Eingabe!$B$5,"",INT((A7-Eingabe!$B$5)/(Eingabe!$B$6*7))+1))</f>
        <v/>
      </c>
      <c r="F7" s="8">
        <f>IF(A7="","",SUMPRODUCT((Eingabe!$B$16:$B$165&lt;&gt;"")*(Eingabe!$J$16:$J$165)*--(A7&gt;=Eingabe!$G$16:$G$165)*--(A7&lt;=Eingabe!$H$16:$H$165)*--(WEEKDAY(A7,2)&lt;=5)))</f>
        <v/>
      </c>
      <c r="G7" s="8">
        <f>IF(A7="","",SUM($F$2:F7))</f>
        <v/>
      </c>
      <c r="H7" s="8">
        <f>IF(A7="","",Eingabe!$B$7-G7)</f>
        <v/>
      </c>
      <c r="I7" s="8">
        <f>IF(A7="","",Eingabe!$B$8-SUMIFS($F$2:F7,$D$2:D7,D7))</f>
        <v/>
      </c>
      <c r="J7" s="8">
        <f>IF(A7="","",IF(E7="",1E+99,IFERROR(VLOOKUP(E7,Eingabe!$D$5:$E$44,2,FALSE),Eingabe!$B$9)))</f>
        <v/>
      </c>
      <c r="K7" s="8">
        <f>IF(A7="","",IF(E7="",1E+99,J7-SUMIFS($F$2:F7,$E$2:E7,E7)))</f>
        <v/>
      </c>
      <c r="L7" s="5">
        <f>IF(A7="","",IF(OR(H7&lt;0,I7&lt;0,K7&lt;0),"UNMOEGLICH","OK"))</f>
        <v/>
      </c>
    </row>
    <row r="8">
      <c r="A8" s="7">
        <f>IF(ROW()-1&lt;=Eingabe!$B$4-Eingabe!$B$3+1,Eingabe!$B$3+ROW()-2,"")</f>
        <v/>
      </c>
      <c r="B8" s="5">
        <f>IF(A8="","",TEXT(A8,"yyyy-mm-dd"))</f>
        <v/>
      </c>
      <c r="C8" s="5">
        <f>IF(A8="","",TEXT(A8,"ddd"))</f>
        <v/>
      </c>
      <c r="D8" s="5">
        <f>IF(A8="","",TEXT(A8,"yyyy-mm"))</f>
        <v/>
      </c>
      <c r="E8" s="5">
        <f>IF(A8="","",IF(A8&lt;Eingabe!$B$5,"",INT((A8-Eingabe!$B$5)/(Eingabe!$B$6*7))+1))</f>
        <v/>
      </c>
      <c r="F8" s="8">
        <f>IF(A8="","",SUMPRODUCT((Eingabe!$B$16:$B$165&lt;&gt;"")*(Eingabe!$J$16:$J$165)*--(A8&gt;=Eingabe!$G$16:$G$165)*--(A8&lt;=Eingabe!$H$16:$H$165)*--(WEEKDAY(A8,2)&lt;=5)))</f>
        <v/>
      </c>
      <c r="G8" s="8">
        <f>IF(A8="","",SUM($F$2:F8))</f>
        <v/>
      </c>
      <c r="H8" s="8">
        <f>IF(A8="","",Eingabe!$B$7-G8)</f>
        <v/>
      </c>
      <c r="I8" s="8">
        <f>IF(A8="","",Eingabe!$B$8-SUMIFS($F$2:F8,$D$2:D8,D8))</f>
        <v/>
      </c>
      <c r="J8" s="8">
        <f>IF(A8="","",IF(E8="",1E+99,IFERROR(VLOOKUP(E8,Eingabe!$D$5:$E$44,2,FALSE),Eingabe!$B$9)))</f>
        <v/>
      </c>
      <c r="K8" s="8">
        <f>IF(A8="","",IF(E8="",1E+99,J8-SUMIFS($F$2:F8,$E$2:E8,E8)))</f>
        <v/>
      </c>
      <c r="L8" s="5">
        <f>IF(A8="","",IF(OR(H8&lt;0,I8&lt;0,K8&lt;0),"UNMOEGLICH","OK"))</f>
        <v/>
      </c>
    </row>
    <row r="9">
      <c r="A9" s="7">
        <f>IF(ROW()-1&lt;=Eingabe!$B$4-Eingabe!$B$3+1,Eingabe!$B$3+ROW()-2,"")</f>
        <v/>
      </c>
      <c r="B9" s="5">
        <f>IF(A9="","",TEXT(A9,"yyyy-mm-dd"))</f>
        <v/>
      </c>
      <c r="C9" s="5">
        <f>IF(A9="","",TEXT(A9,"ddd"))</f>
        <v/>
      </c>
      <c r="D9" s="5">
        <f>IF(A9="","",TEXT(A9,"yyyy-mm"))</f>
        <v/>
      </c>
      <c r="E9" s="5">
        <f>IF(A9="","",IF(A9&lt;Eingabe!$B$5,"",INT((A9-Eingabe!$B$5)/(Eingabe!$B$6*7))+1))</f>
        <v/>
      </c>
      <c r="F9" s="8">
        <f>IF(A9="","",SUMPRODUCT((Eingabe!$B$16:$B$165&lt;&gt;"")*(Eingabe!$J$16:$J$165)*--(A9&gt;=Eingabe!$G$16:$G$165)*--(A9&lt;=Eingabe!$H$16:$H$165)*--(WEEKDAY(A9,2)&lt;=5)))</f>
        <v/>
      </c>
      <c r="G9" s="8">
        <f>IF(A9="","",SUM($F$2:F9))</f>
        <v/>
      </c>
      <c r="H9" s="8">
        <f>IF(A9="","",Eingabe!$B$7-G9)</f>
        <v/>
      </c>
      <c r="I9" s="8">
        <f>IF(A9="","",Eingabe!$B$8-SUMIFS($F$2:F9,$D$2:D9,D9))</f>
        <v/>
      </c>
      <c r="J9" s="8">
        <f>IF(A9="","",IF(E9="",1E+99,IFERROR(VLOOKUP(E9,Eingabe!$D$5:$E$44,2,FALSE),Eingabe!$B$9)))</f>
        <v/>
      </c>
      <c r="K9" s="8">
        <f>IF(A9="","",IF(E9="",1E+99,J9-SUMIFS($F$2:F9,$E$2:E9,E9)))</f>
        <v/>
      </c>
      <c r="L9" s="5">
        <f>IF(A9="","",IF(OR(H9&lt;0,I9&lt;0,K9&lt;0),"UNMOEGLICH","OK"))</f>
        <v/>
      </c>
    </row>
    <row r="10">
      <c r="A10" s="7">
        <f>IF(ROW()-1&lt;=Eingabe!$B$4-Eingabe!$B$3+1,Eingabe!$B$3+ROW()-2,"")</f>
        <v/>
      </c>
      <c r="B10" s="5">
        <f>IF(A10="","",TEXT(A10,"yyyy-mm-dd"))</f>
        <v/>
      </c>
      <c r="C10" s="5">
        <f>IF(A10="","",TEXT(A10,"ddd"))</f>
        <v/>
      </c>
      <c r="D10" s="5">
        <f>IF(A10="","",TEXT(A10,"yyyy-mm"))</f>
        <v/>
      </c>
      <c r="E10" s="5">
        <f>IF(A10="","",IF(A10&lt;Eingabe!$B$5,"",INT((A10-Eingabe!$B$5)/(Eingabe!$B$6*7))+1))</f>
        <v/>
      </c>
      <c r="F10" s="8">
        <f>IF(A10="","",SUMPRODUCT((Eingabe!$B$16:$B$165&lt;&gt;"")*(Eingabe!$J$16:$J$165)*--(A10&gt;=Eingabe!$G$16:$G$165)*--(A10&lt;=Eingabe!$H$16:$H$165)*--(WEEKDAY(A10,2)&lt;=5)))</f>
        <v/>
      </c>
      <c r="G10" s="8">
        <f>IF(A10="","",SUM($F$2:F10))</f>
        <v/>
      </c>
      <c r="H10" s="8">
        <f>IF(A10="","",Eingabe!$B$7-G10)</f>
        <v/>
      </c>
      <c r="I10" s="8">
        <f>IF(A10="","",Eingabe!$B$8-SUMIFS($F$2:F10,$D$2:D10,D10))</f>
        <v/>
      </c>
      <c r="J10" s="8">
        <f>IF(A10="","",IF(E10="",1E+99,IFERROR(VLOOKUP(E10,Eingabe!$D$5:$E$44,2,FALSE),Eingabe!$B$9)))</f>
        <v/>
      </c>
      <c r="K10" s="8">
        <f>IF(A10="","",IF(E10="",1E+99,J10-SUMIFS($F$2:F10,$E$2:E10,E10)))</f>
        <v/>
      </c>
      <c r="L10" s="5">
        <f>IF(A10="","",IF(OR(H10&lt;0,I10&lt;0,K10&lt;0),"UNMOEGLICH","OK"))</f>
        <v/>
      </c>
    </row>
    <row r="11">
      <c r="A11" s="7">
        <f>IF(ROW()-1&lt;=Eingabe!$B$4-Eingabe!$B$3+1,Eingabe!$B$3+ROW()-2,"")</f>
        <v/>
      </c>
      <c r="B11" s="5">
        <f>IF(A11="","",TEXT(A11,"yyyy-mm-dd"))</f>
        <v/>
      </c>
      <c r="C11" s="5">
        <f>IF(A11="","",TEXT(A11,"ddd"))</f>
        <v/>
      </c>
      <c r="D11" s="5">
        <f>IF(A11="","",TEXT(A11,"yyyy-mm"))</f>
        <v/>
      </c>
      <c r="E11" s="5">
        <f>IF(A11="","",IF(A11&lt;Eingabe!$B$5,"",INT((A11-Eingabe!$B$5)/(Eingabe!$B$6*7))+1))</f>
        <v/>
      </c>
      <c r="F11" s="8">
        <f>IF(A11="","",SUMPRODUCT((Eingabe!$B$16:$B$165&lt;&gt;"")*(Eingabe!$J$16:$J$165)*--(A11&gt;=Eingabe!$G$16:$G$165)*--(A11&lt;=Eingabe!$H$16:$H$165)*--(WEEKDAY(A11,2)&lt;=5)))</f>
        <v/>
      </c>
      <c r="G11" s="8">
        <f>IF(A11="","",SUM($F$2:F11))</f>
        <v/>
      </c>
      <c r="H11" s="8">
        <f>IF(A11="","",Eingabe!$B$7-G11)</f>
        <v/>
      </c>
      <c r="I11" s="8">
        <f>IF(A11="","",Eingabe!$B$8-SUMIFS($F$2:F11,$D$2:D11,D11))</f>
        <v/>
      </c>
      <c r="J11" s="8">
        <f>IF(A11="","",IF(E11="",1E+99,IFERROR(VLOOKUP(E11,Eingabe!$D$5:$E$44,2,FALSE),Eingabe!$B$9)))</f>
        <v/>
      </c>
      <c r="K11" s="8">
        <f>IF(A11="","",IF(E11="",1E+99,J11-SUMIFS($F$2:F11,$E$2:E11,E11)))</f>
        <v/>
      </c>
      <c r="L11" s="5">
        <f>IF(A11="","",IF(OR(H11&lt;0,I11&lt;0,K11&lt;0),"UNMOEGLICH","OK"))</f>
        <v/>
      </c>
    </row>
    <row r="12">
      <c r="A12" s="7">
        <f>IF(ROW()-1&lt;=Eingabe!$B$4-Eingabe!$B$3+1,Eingabe!$B$3+ROW()-2,"")</f>
        <v/>
      </c>
      <c r="B12" s="5">
        <f>IF(A12="","",TEXT(A12,"yyyy-mm-dd"))</f>
        <v/>
      </c>
      <c r="C12" s="5">
        <f>IF(A12="","",TEXT(A12,"ddd"))</f>
        <v/>
      </c>
      <c r="D12" s="5">
        <f>IF(A12="","",TEXT(A12,"yyyy-mm"))</f>
        <v/>
      </c>
      <c r="E12" s="5">
        <f>IF(A12="","",IF(A12&lt;Eingabe!$B$5,"",INT((A12-Eingabe!$B$5)/(Eingabe!$B$6*7))+1))</f>
        <v/>
      </c>
      <c r="F12" s="8">
        <f>IF(A12="","",SUMPRODUCT((Eingabe!$B$16:$B$165&lt;&gt;"")*(Eingabe!$J$16:$J$165)*--(A12&gt;=Eingabe!$G$16:$G$165)*--(A12&lt;=Eingabe!$H$16:$H$165)*--(WEEKDAY(A12,2)&lt;=5)))</f>
        <v/>
      </c>
      <c r="G12" s="8">
        <f>IF(A12="","",SUM($F$2:F12))</f>
        <v/>
      </c>
      <c r="H12" s="8">
        <f>IF(A12="","",Eingabe!$B$7-G12)</f>
        <v/>
      </c>
      <c r="I12" s="8">
        <f>IF(A12="","",Eingabe!$B$8-SUMIFS($F$2:F12,$D$2:D12,D12))</f>
        <v/>
      </c>
      <c r="J12" s="8">
        <f>IF(A12="","",IF(E12="",1E+99,IFERROR(VLOOKUP(E12,Eingabe!$D$5:$E$44,2,FALSE),Eingabe!$B$9)))</f>
        <v/>
      </c>
      <c r="K12" s="8">
        <f>IF(A12="","",IF(E12="",1E+99,J12-SUMIFS($F$2:F12,$E$2:E12,E12)))</f>
        <v/>
      </c>
      <c r="L12" s="5">
        <f>IF(A12="","",IF(OR(H12&lt;0,I12&lt;0,K12&lt;0),"UNMOEGLICH","OK"))</f>
        <v/>
      </c>
    </row>
    <row r="13">
      <c r="A13" s="7">
        <f>IF(ROW()-1&lt;=Eingabe!$B$4-Eingabe!$B$3+1,Eingabe!$B$3+ROW()-2,"")</f>
        <v/>
      </c>
      <c r="B13" s="5">
        <f>IF(A13="","",TEXT(A13,"yyyy-mm-dd"))</f>
        <v/>
      </c>
      <c r="C13" s="5">
        <f>IF(A13="","",TEXT(A13,"ddd"))</f>
        <v/>
      </c>
      <c r="D13" s="5">
        <f>IF(A13="","",TEXT(A13,"yyyy-mm"))</f>
        <v/>
      </c>
      <c r="E13" s="5">
        <f>IF(A13="","",IF(A13&lt;Eingabe!$B$5,"",INT((A13-Eingabe!$B$5)/(Eingabe!$B$6*7))+1))</f>
        <v/>
      </c>
      <c r="F13" s="8">
        <f>IF(A13="","",SUMPRODUCT((Eingabe!$B$16:$B$165&lt;&gt;"")*(Eingabe!$J$16:$J$165)*--(A13&gt;=Eingabe!$G$16:$G$165)*--(A13&lt;=Eingabe!$H$16:$H$165)*--(WEEKDAY(A13,2)&lt;=5)))</f>
        <v/>
      </c>
      <c r="G13" s="8">
        <f>IF(A13="","",SUM($F$2:F13))</f>
        <v/>
      </c>
      <c r="H13" s="8">
        <f>IF(A13="","",Eingabe!$B$7-G13)</f>
        <v/>
      </c>
      <c r="I13" s="8">
        <f>IF(A13="","",Eingabe!$B$8-SUMIFS($F$2:F13,$D$2:D13,D13))</f>
        <v/>
      </c>
      <c r="J13" s="8">
        <f>IF(A13="","",IF(E13="",1E+99,IFERROR(VLOOKUP(E13,Eingabe!$D$5:$E$44,2,FALSE),Eingabe!$B$9)))</f>
        <v/>
      </c>
      <c r="K13" s="8">
        <f>IF(A13="","",IF(E13="",1E+99,J13-SUMIFS($F$2:F13,$E$2:E13,E13)))</f>
        <v/>
      </c>
      <c r="L13" s="5">
        <f>IF(A13="","",IF(OR(H13&lt;0,I13&lt;0,K13&lt;0),"UNMOEGLICH","OK"))</f>
        <v/>
      </c>
    </row>
    <row r="14">
      <c r="A14" s="7">
        <f>IF(ROW()-1&lt;=Eingabe!$B$4-Eingabe!$B$3+1,Eingabe!$B$3+ROW()-2,"")</f>
        <v/>
      </c>
      <c r="B14" s="5">
        <f>IF(A14="","",TEXT(A14,"yyyy-mm-dd"))</f>
        <v/>
      </c>
      <c r="C14" s="5">
        <f>IF(A14="","",TEXT(A14,"ddd"))</f>
        <v/>
      </c>
      <c r="D14" s="5">
        <f>IF(A14="","",TEXT(A14,"yyyy-mm"))</f>
        <v/>
      </c>
      <c r="E14" s="5">
        <f>IF(A14="","",IF(A14&lt;Eingabe!$B$5,"",INT((A14-Eingabe!$B$5)/(Eingabe!$B$6*7))+1))</f>
        <v/>
      </c>
      <c r="F14" s="8">
        <f>IF(A14="","",SUMPRODUCT((Eingabe!$B$16:$B$165&lt;&gt;"")*(Eingabe!$J$16:$J$165)*--(A14&gt;=Eingabe!$G$16:$G$165)*--(A14&lt;=Eingabe!$H$16:$H$165)*--(WEEKDAY(A14,2)&lt;=5)))</f>
        <v/>
      </c>
      <c r="G14" s="8">
        <f>IF(A14="","",SUM($F$2:F14))</f>
        <v/>
      </c>
      <c r="H14" s="8">
        <f>IF(A14="","",Eingabe!$B$7-G14)</f>
        <v/>
      </c>
      <c r="I14" s="8">
        <f>IF(A14="","",Eingabe!$B$8-SUMIFS($F$2:F14,$D$2:D14,D14))</f>
        <v/>
      </c>
      <c r="J14" s="8">
        <f>IF(A14="","",IF(E14="",1E+99,IFERROR(VLOOKUP(E14,Eingabe!$D$5:$E$44,2,FALSE),Eingabe!$B$9)))</f>
        <v/>
      </c>
      <c r="K14" s="8">
        <f>IF(A14="","",IF(E14="",1E+99,J14-SUMIFS($F$2:F14,$E$2:E14,E14)))</f>
        <v/>
      </c>
      <c r="L14" s="5">
        <f>IF(A14="","",IF(OR(H14&lt;0,I14&lt;0,K14&lt;0),"UNMOEGLICH","OK"))</f>
        <v/>
      </c>
    </row>
    <row r="15">
      <c r="A15" s="7">
        <f>IF(ROW()-1&lt;=Eingabe!$B$4-Eingabe!$B$3+1,Eingabe!$B$3+ROW()-2,"")</f>
        <v/>
      </c>
      <c r="B15" s="5">
        <f>IF(A15="","",TEXT(A15,"yyyy-mm-dd"))</f>
        <v/>
      </c>
      <c r="C15" s="5">
        <f>IF(A15="","",TEXT(A15,"ddd"))</f>
        <v/>
      </c>
      <c r="D15" s="5">
        <f>IF(A15="","",TEXT(A15,"yyyy-mm"))</f>
        <v/>
      </c>
      <c r="E15" s="5">
        <f>IF(A15="","",IF(A15&lt;Eingabe!$B$5,"",INT((A15-Eingabe!$B$5)/(Eingabe!$B$6*7))+1))</f>
        <v/>
      </c>
      <c r="F15" s="8">
        <f>IF(A15="","",SUMPRODUCT((Eingabe!$B$16:$B$165&lt;&gt;"")*(Eingabe!$J$16:$J$165)*--(A15&gt;=Eingabe!$G$16:$G$165)*--(A15&lt;=Eingabe!$H$16:$H$165)*--(WEEKDAY(A15,2)&lt;=5)))</f>
        <v/>
      </c>
      <c r="G15" s="8">
        <f>IF(A15="","",SUM($F$2:F15))</f>
        <v/>
      </c>
      <c r="H15" s="8">
        <f>IF(A15="","",Eingabe!$B$7-G15)</f>
        <v/>
      </c>
      <c r="I15" s="8">
        <f>IF(A15="","",Eingabe!$B$8-SUMIFS($F$2:F15,$D$2:D15,D15))</f>
        <v/>
      </c>
      <c r="J15" s="8">
        <f>IF(A15="","",IF(E15="",1E+99,IFERROR(VLOOKUP(E15,Eingabe!$D$5:$E$44,2,FALSE),Eingabe!$B$9)))</f>
        <v/>
      </c>
      <c r="K15" s="8">
        <f>IF(A15="","",IF(E15="",1E+99,J15-SUMIFS($F$2:F15,$E$2:E15,E15)))</f>
        <v/>
      </c>
      <c r="L15" s="5">
        <f>IF(A15="","",IF(OR(H15&lt;0,I15&lt;0,K15&lt;0),"UNMOEGLICH","OK"))</f>
        <v/>
      </c>
    </row>
    <row r="16">
      <c r="A16" s="7">
        <f>IF(ROW()-1&lt;=Eingabe!$B$4-Eingabe!$B$3+1,Eingabe!$B$3+ROW()-2,"")</f>
        <v/>
      </c>
      <c r="B16" s="5">
        <f>IF(A16="","",TEXT(A16,"yyyy-mm-dd"))</f>
        <v/>
      </c>
      <c r="C16" s="5">
        <f>IF(A16="","",TEXT(A16,"ddd"))</f>
        <v/>
      </c>
      <c r="D16" s="5">
        <f>IF(A16="","",TEXT(A16,"yyyy-mm"))</f>
        <v/>
      </c>
      <c r="E16" s="5">
        <f>IF(A16="","",IF(A16&lt;Eingabe!$B$5,"",INT((A16-Eingabe!$B$5)/(Eingabe!$B$6*7))+1))</f>
        <v/>
      </c>
      <c r="F16" s="8">
        <f>IF(A16="","",SUMPRODUCT((Eingabe!$B$16:$B$165&lt;&gt;"")*(Eingabe!$J$16:$J$165)*--(A16&gt;=Eingabe!$G$16:$G$165)*--(A16&lt;=Eingabe!$H$16:$H$165)*--(WEEKDAY(A16,2)&lt;=5)))</f>
        <v/>
      </c>
      <c r="G16" s="8">
        <f>IF(A16="","",SUM($F$2:F16))</f>
        <v/>
      </c>
      <c r="H16" s="8">
        <f>IF(A16="","",Eingabe!$B$7-G16)</f>
        <v/>
      </c>
      <c r="I16" s="8">
        <f>IF(A16="","",Eingabe!$B$8-SUMIFS($F$2:F16,$D$2:D16,D16))</f>
        <v/>
      </c>
      <c r="J16" s="8">
        <f>IF(A16="","",IF(E16="",1E+99,IFERROR(VLOOKUP(E16,Eingabe!$D$5:$E$44,2,FALSE),Eingabe!$B$9)))</f>
        <v/>
      </c>
      <c r="K16" s="8">
        <f>IF(A16="","",IF(E16="",1E+99,J16-SUMIFS($F$2:F16,$E$2:E16,E16)))</f>
        <v/>
      </c>
      <c r="L16" s="5">
        <f>IF(A16="","",IF(OR(H16&lt;0,I16&lt;0,K16&lt;0),"UNMOEGLICH","OK"))</f>
        <v/>
      </c>
    </row>
    <row r="17">
      <c r="A17" s="7">
        <f>IF(ROW()-1&lt;=Eingabe!$B$4-Eingabe!$B$3+1,Eingabe!$B$3+ROW()-2,"")</f>
        <v/>
      </c>
      <c r="B17" s="5">
        <f>IF(A17="","",TEXT(A17,"yyyy-mm-dd"))</f>
        <v/>
      </c>
      <c r="C17" s="5">
        <f>IF(A17="","",TEXT(A17,"ddd"))</f>
        <v/>
      </c>
      <c r="D17" s="5">
        <f>IF(A17="","",TEXT(A17,"yyyy-mm"))</f>
        <v/>
      </c>
      <c r="E17" s="5">
        <f>IF(A17="","",IF(A17&lt;Eingabe!$B$5,"",INT((A17-Eingabe!$B$5)/(Eingabe!$B$6*7))+1))</f>
        <v/>
      </c>
      <c r="F17" s="8">
        <f>IF(A17="","",SUMPRODUCT((Eingabe!$B$16:$B$165&lt;&gt;"")*(Eingabe!$J$16:$J$165)*--(A17&gt;=Eingabe!$G$16:$G$165)*--(A17&lt;=Eingabe!$H$16:$H$165)*--(WEEKDAY(A17,2)&lt;=5)))</f>
        <v/>
      </c>
      <c r="G17" s="8">
        <f>IF(A17="","",SUM($F$2:F17))</f>
        <v/>
      </c>
      <c r="H17" s="8">
        <f>IF(A17="","",Eingabe!$B$7-G17)</f>
        <v/>
      </c>
      <c r="I17" s="8">
        <f>IF(A17="","",Eingabe!$B$8-SUMIFS($F$2:F17,$D$2:D17,D17))</f>
        <v/>
      </c>
      <c r="J17" s="8">
        <f>IF(A17="","",IF(E17="",1E+99,IFERROR(VLOOKUP(E17,Eingabe!$D$5:$E$44,2,FALSE),Eingabe!$B$9)))</f>
        <v/>
      </c>
      <c r="K17" s="8">
        <f>IF(A17="","",IF(E17="",1E+99,J17-SUMIFS($F$2:F17,$E$2:E17,E17)))</f>
        <v/>
      </c>
      <c r="L17" s="5">
        <f>IF(A17="","",IF(OR(H17&lt;0,I17&lt;0,K17&lt;0),"UNMOEGLICH","OK"))</f>
        <v/>
      </c>
    </row>
    <row r="18">
      <c r="A18" s="7">
        <f>IF(ROW()-1&lt;=Eingabe!$B$4-Eingabe!$B$3+1,Eingabe!$B$3+ROW()-2,"")</f>
        <v/>
      </c>
      <c r="B18" s="5">
        <f>IF(A18="","",TEXT(A18,"yyyy-mm-dd"))</f>
        <v/>
      </c>
      <c r="C18" s="5">
        <f>IF(A18="","",TEXT(A18,"ddd"))</f>
        <v/>
      </c>
      <c r="D18" s="5">
        <f>IF(A18="","",TEXT(A18,"yyyy-mm"))</f>
        <v/>
      </c>
      <c r="E18" s="5">
        <f>IF(A18="","",IF(A18&lt;Eingabe!$B$5,"",INT((A18-Eingabe!$B$5)/(Eingabe!$B$6*7))+1))</f>
        <v/>
      </c>
      <c r="F18" s="8">
        <f>IF(A18="","",SUMPRODUCT((Eingabe!$B$16:$B$165&lt;&gt;"")*(Eingabe!$J$16:$J$165)*--(A18&gt;=Eingabe!$G$16:$G$165)*--(A18&lt;=Eingabe!$H$16:$H$165)*--(WEEKDAY(A18,2)&lt;=5)))</f>
        <v/>
      </c>
      <c r="G18" s="8">
        <f>IF(A18="","",SUM($F$2:F18))</f>
        <v/>
      </c>
      <c r="H18" s="8">
        <f>IF(A18="","",Eingabe!$B$7-G18)</f>
        <v/>
      </c>
      <c r="I18" s="8">
        <f>IF(A18="","",Eingabe!$B$8-SUMIFS($F$2:F18,$D$2:D18,D18))</f>
        <v/>
      </c>
      <c r="J18" s="8">
        <f>IF(A18="","",IF(E18="",1E+99,IFERROR(VLOOKUP(E18,Eingabe!$D$5:$E$44,2,FALSE),Eingabe!$B$9)))</f>
        <v/>
      </c>
      <c r="K18" s="8">
        <f>IF(A18="","",IF(E18="",1E+99,J18-SUMIFS($F$2:F18,$E$2:E18,E18)))</f>
        <v/>
      </c>
      <c r="L18" s="5">
        <f>IF(A18="","",IF(OR(H18&lt;0,I18&lt;0,K18&lt;0),"UNMOEGLICH","OK"))</f>
        <v/>
      </c>
    </row>
    <row r="19">
      <c r="A19" s="7">
        <f>IF(ROW()-1&lt;=Eingabe!$B$4-Eingabe!$B$3+1,Eingabe!$B$3+ROW()-2,"")</f>
        <v/>
      </c>
      <c r="B19" s="5">
        <f>IF(A19="","",TEXT(A19,"yyyy-mm-dd"))</f>
        <v/>
      </c>
      <c r="C19" s="5">
        <f>IF(A19="","",TEXT(A19,"ddd"))</f>
        <v/>
      </c>
      <c r="D19" s="5">
        <f>IF(A19="","",TEXT(A19,"yyyy-mm"))</f>
        <v/>
      </c>
      <c r="E19" s="5">
        <f>IF(A19="","",IF(A19&lt;Eingabe!$B$5,"",INT((A19-Eingabe!$B$5)/(Eingabe!$B$6*7))+1))</f>
        <v/>
      </c>
      <c r="F19" s="8">
        <f>IF(A19="","",SUMPRODUCT((Eingabe!$B$16:$B$165&lt;&gt;"")*(Eingabe!$J$16:$J$165)*--(A19&gt;=Eingabe!$G$16:$G$165)*--(A19&lt;=Eingabe!$H$16:$H$165)*--(WEEKDAY(A19,2)&lt;=5)))</f>
        <v/>
      </c>
      <c r="G19" s="8">
        <f>IF(A19="","",SUM($F$2:F19))</f>
        <v/>
      </c>
      <c r="H19" s="8">
        <f>IF(A19="","",Eingabe!$B$7-G19)</f>
        <v/>
      </c>
      <c r="I19" s="8">
        <f>IF(A19="","",Eingabe!$B$8-SUMIFS($F$2:F19,$D$2:D19,D19))</f>
        <v/>
      </c>
      <c r="J19" s="8">
        <f>IF(A19="","",IF(E19="",1E+99,IFERROR(VLOOKUP(E19,Eingabe!$D$5:$E$44,2,FALSE),Eingabe!$B$9)))</f>
        <v/>
      </c>
      <c r="K19" s="8">
        <f>IF(A19="","",IF(E19="",1E+99,J19-SUMIFS($F$2:F19,$E$2:E19,E19)))</f>
        <v/>
      </c>
      <c r="L19" s="5">
        <f>IF(A19="","",IF(OR(H19&lt;0,I19&lt;0,K19&lt;0),"UNMOEGLICH","OK"))</f>
        <v/>
      </c>
    </row>
    <row r="20">
      <c r="A20" s="7">
        <f>IF(ROW()-1&lt;=Eingabe!$B$4-Eingabe!$B$3+1,Eingabe!$B$3+ROW()-2,"")</f>
        <v/>
      </c>
      <c r="B20" s="5">
        <f>IF(A20="","",TEXT(A20,"yyyy-mm-dd"))</f>
        <v/>
      </c>
      <c r="C20" s="5">
        <f>IF(A20="","",TEXT(A20,"ddd"))</f>
        <v/>
      </c>
      <c r="D20" s="5">
        <f>IF(A20="","",TEXT(A20,"yyyy-mm"))</f>
        <v/>
      </c>
      <c r="E20" s="5">
        <f>IF(A20="","",IF(A20&lt;Eingabe!$B$5,"",INT((A20-Eingabe!$B$5)/(Eingabe!$B$6*7))+1))</f>
        <v/>
      </c>
      <c r="F20" s="8">
        <f>IF(A20="","",SUMPRODUCT((Eingabe!$B$16:$B$165&lt;&gt;"")*(Eingabe!$J$16:$J$165)*--(A20&gt;=Eingabe!$G$16:$G$165)*--(A20&lt;=Eingabe!$H$16:$H$165)*--(WEEKDAY(A20,2)&lt;=5)))</f>
        <v/>
      </c>
      <c r="G20" s="8">
        <f>IF(A20="","",SUM($F$2:F20))</f>
        <v/>
      </c>
      <c r="H20" s="8">
        <f>IF(A20="","",Eingabe!$B$7-G20)</f>
        <v/>
      </c>
      <c r="I20" s="8">
        <f>IF(A20="","",Eingabe!$B$8-SUMIFS($F$2:F20,$D$2:D20,D20))</f>
        <v/>
      </c>
      <c r="J20" s="8">
        <f>IF(A20="","",IF(E20="",1E+99,IFERROR(VLOOKUP(E20,Eingabe!$D$5:$E$44,2,FALSE),Eingabe!$B$9)))</f>
        <v/>
      </c>
      <c r="K20" s="8">
        <f>IF(A20="","",IF(E20="",1E+99,J20-SUMIFS($F$2:F20,$E$2:E20,E20)))</f>
        <v/>
      </c>
      <c r="L20" s="5">
        <f>IF(A20="","",IF(OR(H20&lt;0,I20&lt;0,K20&lt;0),"UNMOEGLICH","OK"))</f>
        <v/>
      </c>
    </row>
    <row r="21">
      <c r="A21" s="7">
        <f>IF(ROW()-1&lt;=Eingabe!$B$4-Eingabe!$B$3+1,Eingabe!$B$3+ROW()-2,"")</f>
        <v/>
      </c>
      <c r="B21" s="5">
        <f>IF(A21="","",TEXT(A21,"yyyy-mm-dd"))</f>
        <v/>
      </c>
      <c r="C21" s="5">
        <f>IF(A21="","",TEXT(A21,"ddd"))</f>
        <v/>
      </c>
      <c r="D21" s="5">
        <f>IF(A21="","",TEXT(A21,"yyyy-mm"))</f>
        <v/>
      </c>
      <c r="E21" s="5">
        <f>IF(A21="","",IF(A21&lt;Eingabe!$B$5,"",INT((A21-Eingabe!$B$5)/(Eingabe!$B$6*7))+1))</f>
        <v/>
      </c>
      <c r="F21" s="8">
        <f>IF(A21="","",SUMPRODUCT((Eingabe!$B$16:$B$165&lt;&gt;"")*(Eingabe!$J$16:$J$165)*--(A21&gt;=Eingabe!$G$16:$G$165)*--(A21&lt;=Eingabe!$H$16:$H$165)*--(WEEKDAY(A21,2)&lt;=5)))</f>
        <v/>
      </c>
      <c r="G21" s="8">
        <f>IF(A21="","",SUM($F$2:F21))</f>
        <v/>
      </c>
      <c r="H21" s="8">
        <f>IF(A21="","",Eingabe!$B$7-G21)</f>
        <v/>
      </c>
      <c r="I21" s="8">
        <f>IF(A21="","",Eingabe!$B$8-SUMIFS($F$2:F21,$D$2:D21,D21))</f>
        <v/>
      </c>
      <c r="J21" s="8">
        <f>IF(A21="","",IF(E21="",1E+99,IFERROR(VLOOKUP(E21,Eingabe!$D$5:$E$44,2,FALSE),Eingabe!$B$9)))</f>
        <v/>
      </c>
      <c r="K21" s="8">
        <f>IF(A21="","",IF(E21="",1E+99,J21-SUMIFS($F$2:F21,$E$2:E21,E21)))</f>
        <v/>
      </c>
      <c r="L21" s="5">
        <f>IF(A21="","",IF(OR(H21&lt;0,I21&lt;0,K21&lt;0),"UNMOEGLICH","OK"))</f>
        <v/>
      </c>
    </row>
    <row r="22">
      <c r="A22" s="7">
        <f>IF(ROW()-1&lt;=Eingabe!$B$4-Eingabe!$B$3+1,Eingabe!$B$3+ROW()-2,"")</f>
        <v/>
      </c>
      <c r="B22" s="5">
        <f>IF(A22="","",TEXT(A22,"yyyy-mm-dd"))</f>
        <v/>
      </c>
      <c r="C22" s="5">
        <f>IF(A22="","",TEXT(A22,"ddd"))</f>
        <v/>
      </c>
      <c r="D22" s="5">
        <f>IF(A22="","",TEXT(A22,"yyyy-mm"))</f>
        <v/>
      </c>
      <c r="E22" s="5">
        <f>IF(A22="","",IF(A22&lt;Eingabe!$B$5,"",INT((A22-Eingabe!$B$5)/(Eingabe!$B$6*7))+1))</f>
        <v/>
      </c>
      <c r="F22" s="8">
        <f>IF(A22="","",SUMPRODUCT((Eingabe!$B$16:$B$165&lt;&gt;"")*(Eingabe!$J$16:$J$165)*--(A22&gt;=Eingabe!$G$16:$G$165)*--(A22&lt;=Eingabe!$H$16:$H$165)*--(WEEKDAY(A22,2)&lt;=5)))</f>
        <v/>
      </c>
      <c r="G22" s="8">
        <f>IF(A22="","",SUM($F$2:F22))</f>
        <v/>
      </c>
      <c r="H22" s="8">
        <f>IF(A22="","",Eingabe!$B$7-G22)</f>
        <v/>
      </c>
      <c r="I22" s="8">
        <f>IF(A22="","",Eingabe!$B$8-SUMIFS($F$2:F22,$D$2:D22,D22))</f>
        <v/>
      </c>
      <c r="J22" s="8">
        <f>IF(A22="","",IF(E22="",1E+99,IFERROR(VLOOKUP(E22,Eingabe!$D$5:$E$44,2,FALSE),Eingabe!$B$9)))</f>
        <v/>
      </c>
      <c r="K22" s="8">
        <f>IF(A22="","",IF(E22="",1E+99,J22-SUMIFS($F$2:F22,$E$2:E22,E22)))</f>
        <v/>
      </c>
      <c r="L22" s="5">
        <f>IF(A22="","",IF(OR(H22&lt;0,I22&lt;0,K22&lt;0),"UNMOEGLICH","OK"))</f>
        <v/>
      </c>
    </row>
    <row r="23">
      <c r="A23" s="7">
        <f>IF(ROW()-1&lt;=Eingabe!$B$4-Eingabe!$B$3+1,Eingabe!$B$3+ROW()-2,"")</f>
        <v/>
      </c>
      <c r="B23" s="5">
        <f>IF(A23="","",TEXT(A23,"yyyy-mm-dd"))</f>
        <v/>
      </c>
      <c r="C23" s="5">
        <f>IF(A23="","",TEXT(A23,"ddd"))</f>
        <v/>
      </c>
      <c r="D23" s="5">
        <f>IF(A23="","",TEXT(A23,"yyyy-mm"))</f>
        <v/>
      </c>
      <c r="E23" s="5">
        <f>IF(A23="","",IF(A23&lt;Eingabe!$B$5,"",INT((A23-Eingabe!$B$5)/(Eingabe!$B$6*7))+1))</f>
        <v/>
      </c>
      <c r="F23" s="8">
        <f>IF(A23="","",SUMPRODUCT((Eingabe!$B$16:$B$165&lt;&gt;"")*(Eingabe!$J$16:$J$165)*--(A23&gt;=Eingabe!$G$16:$G$165)*--(A23&lt;=Eingabe!$H$16:$H$165)*--(WEEKDAY(A23,2)&lt;=5)))</f>
        <v/>
      </c>
      <c r="G23" s="8">
        <f>IF(A23="","",SUM($F$2:F23))</f>
        <v/>
      </c>
      <c r="H23" s="8">
        <f>IF(A23="","",Eingabe!$B$7-G23)</f>
        <v/>
      </c>
      <c r="I23" s="8">
        <f>IF(A23="","",Eingabe!$B$8-SUMIFS($F$2:F23,$D$2:D23,D23))</f>
        <v/>
      </c>
      <c r="J23" s="8">
        <f>IF(A23="","",IF(E23="",1E+99,IFERROR(VLOOKUP(E23,Eingabe!$D$5:$E$44,2,FALSE),Eingabe!$B$9)))</f>
        <v/>
      </c>
      <c r="K23" s="8">
        <f>IF(A23="","",IF(E23="",1E+99,J23-SUMIFS($F$2:F23,$E$2:E23,E23)))</f>
        <v/>
      </c>
      <c r="L23" s="5">
        <f>IF(A23="","",IF(OR(H23&lt;0,I23&lt;0,K23&lt;0),"UNMOEGLICH","OK"))</f>
        <v/>
      </c>
    </row>
    <row r="24">
      <c r="A24" s="7">
        <f>IF(ROW()-1&lt;=Eingabe!$B$4-Eingabe!$B$3+1,Eingabe!$B$3+ROW()-2,"")</f>
        <v/>
      </c>
      <c r="B24" s="5">
        <f>IF(A24="","",TEXT(A24,"yyyy-mm-dd"))</f>
        <v/>
      </c>
      <c r="C24" s="5">
        <f>IF(A24="","",TEXT(A24,"ddd"))</f>
        <v/>
      </c>
      <c r="D24" s="5">
        <f>IF(A24="","",TEXT(A24,"yyyy-mm"))</f>
        <v/>
      </c>
      <c r="E24" s="5">
        <f>IF(A24="","",IF(A24&lt;Eingabe!$B$5,"",INT((A24-Eingabe!$B$5)/(Eingabe!$B$6*7))+1))</f>
        <v/>
      </c>
      <c r="F24" s="8">
        <f>IF(A24="","",SUMPRODUCT((Eingabe!$B$16:$B$165&lt;&gt;"")*(Eingabe!$J$16:$J$165)*--(A24&gt;=Eingabe!$G$16:$G$165)*--(A24&lt;=Eingabe!$H$16:$H$165)*--(WEEKDAY(A24,2)&lt;=5)))</f>
        <v/>
      </c>
      <c r="G24" s="8">
        <f>IF(A24="","",SUM($F$2:F24))</f>
        <v/>
      </c>
      <c r="H24" s="8">
        <f>IF(A24="","",Eingabe!$B$7-G24)</f>
        <v/>
      </c>
      <c r="I24" s="8">
        <f>IF(A24="","",Eingabe!$B$8-SUMIFS($F$2:F24,$D$2:D24,D24))</f>
        <v/>
      </c>
      <c r="J24" s="8">
        <f>IF(A24="","",IF(E24="",1E+99,IFERROR(VLOOKUP(E24,Eingabe!$D$5:$E$44,2,FALSE),Eingabe!$B$9)))</f>
        <v/>
      </c>
      <c r="K24" s="8">
        <f>IF(A24="","",IF(E24="",1E+99,J24-SUMIFS($F$2:F24,$E$2:E24,E24)))</f>
        <v/>
      </c>
      <c r="L24" s="5">
        <f>IF(A24="","",IF(OR(H24&lt;0,I24&lt;0,K24&lt;0),"UNMOEGLICH","OK"))</f>
        <v/>
      </c>
    </row>
    <row r="25">
      <c r="A25" s="7">
        <f>IF(ROW()-1&lt;=Eingabe!$B$4-Eingabe!$B$3+1,Eingabe!$B$3+ROW()-2,"")</f>
        <v/>
      </c>
      <c r="B25" s="5">
        <f>IF(A25="","",TEXT(A25,"yyyy-mm-dd"))</f>
        <v/>
      </c>
      <c r="C25" s="5">
        <f>IF(A25="","",TEXT(A25,"ddd"))</f>
        <v/>
      </c>
      <c r="D25" s="5">
        <f>IF(A25="","",TEXT(A25,"yyyy-mm"))</f>
        <v/>
      </c>
      <c r="E25" s="5">
        <f>IF(A25="","",IF(A25&lt;Eingabe!$B$5,"",INT((A25-Eingabe!$B$5)/(Eingabe!$B$6*7))+1))</f>
        <v/>
      </c>
      <c r="F25" s="8">
        <f>IF(A25="","",SUMPRODUCT((Eingabe!$B$16:$B$165&lt;&gt;"")*(Eingabe!$J$16:$J$165)*--(A25&gt;=Eingabe!$G$16:$G$165)*--(A25&lt;=Eingabe!$H$16:$H$165)*--(WEEKDAY(A25,2)&lt;=5)))</f>
        <v/>
      </c>
      <c r="G25" s="8">
        <f>IF(A25="","",SUM($F$2:F25))</f>
        <v/>
      </c>
      <c r="H25" s="8">
        <f>IF(A25="","",Eingabe!$B$7-G25)</f>
        <v/>
      </c>
      <c r="I25" s="8">
        <f>IF(A25="","",Eingabe!$B$8-SUMIFS($F$2:F25,$D$2:D25,D25))</f>
        <v/>
      </c>
      <c r="J25" s="8">
        <f>IF(A25="","",IF(E25="",1E+99,IFERROR(VLOOKUP(E25,Eingabe!$D$5:$E$44,2,FALSE),Eingabe!$B$9)))</f>
        <v/>
      </c>
      <c r="K25" s="8">
        <f>IF(A25="","",IF(E25="",1E+99,J25-SUMIFS($F$2:F25,$E$2:E25,E25)))</f>
        <v/>
      </c>
      <c r="L25" s="5">
        <f>IF(A25="","",IF(OR(H25&lt;0,I25&lt;0,K25&lt;0),"UNMOEGLICH","OK"))</f>
        <v/>
      </c>
    </row>
    <row r="26">
      <c r="A26" s="7">
        <f>IF(ROW()-1&lt;=Eingabe!$B$4-Eingabe!$B$3+1,Eingabe!$B$3+ROW()-2,"")</f>
        <v/>
      </c>
      <c r="B26" s="5">
        <f>IF(A26="","",TEXT(A26,"yyyy-mm-dd"))</f>
        <v/>
      </c>
      <c r="C26" s="5">
        <f>IF(A26="","",TEXT(A26,"ddd"))</f>
        <v/>
      </c>
      <c r="D26" s="5">
        <f>IF(A26="","",TEXT(A26,"yyyy-mm"))</f>
        <v/>
      </c>
      <c r="E26" s="5">
        <f>IF(A26="","",IF(A26&lt;Eingabe!$B$5,"",INT((A26-Eingabe!$B$5)/(Eingabe!$B$6*7))+1))</f>
        <v/>
      </c>
      <c r="F26" s="8">
        <f>IF(A26="","",SUMPRODUCT((Eingabe!$B$16:$B$165&lt;&gt;"")*(Eingabe!$J$16:$J$165)*--(A26&gt;=Eingabe!$G$16:$G$165)*--(A26&lt;=Eingabe!$H$16:$H$165)*--(WEEKDAY(A26,2)&lt;=5)))</f>
        <v/>
      </c>
      <c r="G26" s="8">
        <f>IF(A26="","",SUM($F$2:F26))</f>
        <v/>
      </c>
      <c r="H26" s="8">
        <f>IF(A26="","",Eingabe!$B$7-G26)</f>
        <v/>
      </c>
      <c r="I26" s="8">
        <f>IF(A26="","",Eingabe!$B$8-SUMIFS($F$2:F26,$D$2:D26,D26))</f>
        <v/>
      </c>
      <c r="J26" s="8">
        <f>IF(A26="","",IF(E26="",1E+99,IFERROR(VLOOKUP(E26,Eingabe!$D$5:$E$44,2,FALSE),Eingabe!$B$9)))</f>
        <v/>
      </c>
      <c r="K26" s="8">
        <f>IF(A26="","",IF(E26="",1E+99,J26-SUMIFS($F$2:F26,$E$2:E26,E26)))</f>
        <v/>
      </c>
      <c r="L26" s="5">
        <f>IF(A26="","",IF(OR(H26&lt;0,I26&lt;0,K26&lt;0),"UNMOEGLICH","OK"))</f>
        <v/>
      </c>
    </row>
    <row r="27">
      <c r="A27" s="7">
        <f>IF(ROW()-1&lt;=Eingabe!$B$4-Eingabe!$B$3+1,Eingabe!$B$3+ROW()-2,"")</f>
        <v/>
      </c>
      <c r="B27" s="5">
        <f>IF(A27="","",TEXT(A27,"yyyy-mm-dd"))</f>
        <v/>
      </c>
      <c r="C27" s="5">
        <f>IF(A27="","",TEXT(A27,"ddd"))</f>
        <v/>
      </c>
      <c r="D27" s="5">
        <f>IF(A27="","",TEXT(A27,"yyyy-mm"))</f>
        <v/>
      </c>
      <c r="E27" s="5">
        <f>IF(A27="","",IF(A27&lt;Eingabe!$B$5,"",INT((A27-Eingabe!$B$5)/(Eingabe!$B$6*7))+1))</f>
        <v/>
      </c>
      <c r="F27" s="8">
        <f>IF(A27="","",SUMPRODUCT((Eingabe!$B$16:$B$165&lt;&gt;"")*(Eingabe!$J$16:$J$165)*--(A27&gt;=Eingabe!$G$16:$G$165)*--(A27&lt;=Eingabe!$H$16:$H$165)*--(WEEKDAY(A27,2)&lt;=5)))</f>
        <v/>
      </c>
      <c r="G27" s="8">
        <f>IF(A27="","",SUM($F$2:F27))</f>
        <v/>
      </c>
      <c r="H27" s="8">
        <f>IF(A27="","",Eingabe!$B$7-G27)</f>
        <v/>
      </c>
      <c r="I27" s="8">
        <f>IF(A27="","",Eingabe!$B$8-SUMIFS($F$2:F27,$D$2:D27,D27))</f>
        <v/>
      </c>
      <c r="J27" s="8">
        <f>IF(A27="","",IF(E27="",1E+99,IFERROR(VLOOKUP(E27,Eingabe!$D$5:$E$44,2,FALSE),Eingabe!$B$9)))</f>
        <v/>
      </c>
      <c r="K27" s="8">
        <f>IF(A27="","",IF(E27="",1E+99,J27-SUMIFS($F$2:F27,$E$2:E27,E27)))</f>
        <v/>
      </c>
      <c r="L27" s="5">
        <f>IF(A27="","",IF(OR(H27&lt;0,I27&lt;0,K27&lt;0),"UNMOEGLICH","OK"))</f>
        <v/>
      </c>
    </row>
    <row r="28">
      <c r="A28" s="7">
        <f>IF(ROW()-1&lt;=Eingabe!$B$4-Eingabe!$B$3+1,Eingabe!$B$3+ROW()-2,"")</f>
        <v/>
      </c>
      <c r="B28" s="5">
        <f>IF(A28="","",TEXT(A28,"yyyy-mm-dd"))</f>
        <v/>
      </c>
      <c r="C28" s="5">
        <f>IF(A28="","",TEXT(A28,"ddd"))</f>
        <v/>
      </c>
      <c r="D28" s="5">
        <f>IF(A28="","",TEXT(A28,"yyyy-mm"))</f>
        <v/>
      </c>
      <c r="E28" s="5">
        <f>IF(A28="","",IF(A28&lt;Eingabe!$B$5,"",INT((A28-Eingabe!$B$5)/(Eingabe!$B$6*7))+1))</f>
        <v/>
      </c>
      <c r="F28" s="8">
        <f>IF(A28="","",SUMPRODUCT((Eingabe!$B$16:$B$165&lt;&gt;"")*(Eingabe!$J$16:$J$165)*--(A28&gt;=Eingabe!$G$16:$G$165)*--(A28&lt;=Eingabe!$H$16:$H$165)*--(WEEKDAY(A28,2)&lt;=5)))</f>
        <v/>
      </c>
      <c r="G28" s="8">
        <f>IF(A28="","",SUM($F$2:F28))</f>
        <v/>
      </c>
      <c r="H28" s="8">
        <f>IF(A28="","",Eingabe!$B$7-G28)</f>
        <v/>
      </c>
      <c r="I28" s="8">
        <f>IF(A28="","",Eingabe!$B$8-SUMIFS($F$2:F28,$D$2:D28,D28))</f>
        <v/>
      </c>
      <c r="J28" s="8">
        <f>IF(A28="","",IF(E28="",1E+99,IFERROR(VLOOKUP(E28,Eingabe!$D$5:$E$44,2,FALSE),Eingabe!$B$9)))</f>
        <v/>
      </c>
      <c r="K28" s="8">
        <f>IF(A28="","",IF(E28="",1E+99,J28-SUMIFS($F$2:F28,$E$2:E28,E28)))</f>
        <v/>
      </c>
      <c r="L28" s="5">
        <f>IF(A28="","",IF(OR(H28&lt;0,I28&lt;0,K28&lt;0),"UNMOEGLICH","OK"))</f>
        <v/>
      </c>
    </row>
    <row r="29">
      <c r="A29" s="7">
        <f>IF(ROW()-1&lt;=Eingabe!$B$4-Eingabe!$B$3+1,Eingabe!$B$3+ROW()-2,"")</f>
        <v/>
      </c>
      <c r="B29" s="5">
        <f>IF(A29="","",TEXT(A29,"yyyy-mm-dd"))</f>
        <v/>
      </c>
      <c r="C29" s="5">
        <f>IF(A29="","",TEXT(A29,"ddd"))</f>
        <v/>
      </c>
      <c r="D29" s="5">
        <f>IF(A29="","",TEXT(A29,"yyyy-mm"))</f>
        <v/>
      </c>
      <c r="E29" s="5">
        <f>IF(A29="","",IF(A29&lt;Eingabe!$B$5,"",INT((A29-Eingabe!$B$5)/(Eingabe!$B$6*7))+1))</f>
        <v/>
      </c>
      <c r="F29" s="8">
        <f>IF(A29="","",SUMPRODUCT((Eingabe!$B$16:$B$165&lt;&gt;"")*(Eingabe!$J$16:$J$165)*--(A29&gt;=Eingabe!$G$16:$G$165)*--(A29&lt;=Eingabe!$H$16:$H$165)*--(WEEKDAY(A29,2)&lt;=5)))</f>
        <v/>
      </c>
      <c r="G29" s="8">
        <f>IF(A29="","",SUM($F$2:F29))</f>
        <v/>
      </c>
      <c r="H29" s="8">
        <f>IF(A29="","",Eingabe!$B$7-G29)</f>
        <v/>
      </c>
      <c r="I29" s="8">
        <f>IF(A29="","",Eingabe!$B$8-SUMIFS($F$2:F29,$D$2:D29,D29))</f>
        <v/>
      </c>
      <c r="J29" s="8">
        <f>IF(A29="","",IF(E29="",1E+99,IFERROR(VLOOKUP(E29,Eingabe!$D$5:$E$44,2,FALSE),Eingabe!$B$9)))</f>
        <v/>
      </c>
      <c r="K29" s="8">
        <f>IF(A29="","",IF(E29="",1E+99,J29-SUMIFS($F$2:F29,$E$2:E29,E29)))</f>
        <v/>
      </c>
      <c r="L29" s="5">
        <f>IF(A29="","",IF(OR(H29&lt;0,I29&lt;0,K29&lt;0),"UNMOEGLICH","OK"))</f>
        <v/>
      </c>
    </row>
    <row r="30">
      <c r="A30" s="7">
        <f>IF(ROW()-1&lt;=Eingabe!$B$4-Eingabe!$B$3+1,Eingabe!$B$3+ROW()-2,"")</f>
        <v/>
      </c>
      <c r="B30" s="5">
        <f>IF(A30="","",TEXT(A30,"yyyy-mm-dd"))</f>
        <v/>
      </c>
      <c r="C30" s="5">
        <f>IF(A30="","",TEXT(A30,"ddd"))</f>
        <v/>
      </c>
      <c r="D30" s="5">
        <f>IF(A30="","",TEXT(A30,"yyyy-mm"))</f>
        <v/>
      </c>
      <c r="E30" s="5">
        <f>IF(A30="","",IF(A30&lt;Eingabe!$B$5,"",INT((A30-Eingabe!$B$5)/(Eingabe!$B$6*7))+1))</f>
        <v/>
      </c>
      <c r="F30" s="8">
        <f>IF(A30="","",SUMPRODUCT((Eingabe!$B$16:$B$165&lt;&gt;"")*(Eingabe!$J$16:$J$165)*--(A30&gt;=Eingabe!$G$16:$G$165)*--(A30&lt;=Eingabe!$H$16:$H$165)*--(WEEKDAY(A30,2)&lt;=5)))</f>
        <v/>
      </c>
      <c r="G30" s="8">
        <f>IF(A30="","",SUM($F$2:F30))</f>
        <v/>
      </c>
      <c r="H30" s="8">
        <f>IF(A30="","",Eingabe!$B$7-G30)</f>
        <v/>
      </c>
      <c r="I30" s="8">
        <f>IF(A30="","",Eingabe!$B$8-SUMIFS($F$2:F30,$D$2:D30,D30))</f>
        <v/>
      </c>
      <c r="J30" s="8">
        <f>IF(A30="","",IF(E30="",1E+99,IFERROR(VLOOKUP(E30,Eingabe!$D$5:$E$44,2,FALSE),Eingabe!$B$9)))</f>
        <v/>
      </c>
      <c r="K30" s="8">
        <f>IF(A30="","",IF(E30="",1E+99,J30-SUMIFS($F$2:F30,$E$2:E30,E30)))</f>
        <v/>
      </c>
      <c r="L30" s="5">
        <f>IF(A30="","",IF(OR(H30&lt;0,I30&lt;0,K30&lt;0),"UNMOEGLICH","OK"))</f>
        <v/>
      </c>
    </row>
    <row r="31">
      <c r="A31" s="7">
        <f>IF(ROW()-1&lt;=Eingabe!$B$4-Eingabe!$B$3+1,Eingabe!$B$3+ROW()-2,"")</f>
        <v/>
      </c>
      <c r="B31" s="5">
        <f>IF(A31="","",TEXT(A31,"yyyy-mm-dd"))</f>
        <v/>
      </c>
      <c r="C31" s="5">
        <f>IF(A31="","",TEXT(A31,"ddd"))</f>
        <v/>
      </c>
      <c r="D31" s="5">
        <f>IF(A31="","",TEXT(A31,"yyyy-mm"))</f>
        <v/>
      </c>
      <c r="E31" s="5">
        <f>IF(A31="","",IF(A31&lt;Eingabe!$B$5,"",INT((A31-Eingabe!$B$5)/(Eingabe!$B$6*7))+1))</f>
        <v/>
      </c>
      <c r="F31" s="8">
        <f>IF(A31="","",SUMPRODUCT((Eingabe!$B$16:$B$165&lt;&gt;"")*(Eingabe!$J$16:$J$165)*--(A31&gt;=Eingabe!$G$16:$G$165)*--(A31&lt;=Eingabe!$H$16:$H$165)*--(WEEKDAY(A31,2)&lt;=5)))</f>
        <v/>
      </c>
      <c r="G31" s="8">
        <f>IF(A31="","",SUM($F$2:F31))</f>
        <v/>
      </c>
      <c r="H31" s="8">
        <f>IF(A31="","",Eingabe!$B$7-G31)</f>
        <v/>
      </c>
      <c r="I31" s="8">
        <f>IF(A31="","",Eingabe!$B$8-SUMIFS($F$2:F31,$D$2:D31,D31))</f>
        <v/>
      </c>
      <c r="J31" s="8">
        <f>IF(A31="","",IF(E31="",1E+99,IFERROR(VLOOKUP(E31,Eingabe!$D$5:$E$44,2,FALSE),Eingabe!$B$9)))</f>
        <v/>
      </c>
      <c r="K31" s="8">
        <f>IF(A31="","",IF(E31="",1E+99,J31-SUMIFS($F$2:F31,$E$2:E31,E31)))</f>
        <v/>
      </c>
      <c r="L31" s="5">
        <f>IF(A31="","",IF(OR(H31&lt;0,I31&lt;0,K31&lt;0),"UNMOEGLICH","OK"))</f>
        <v/>
      </c>
    </row>
    <row r="32">
      <c r="A32" s="7">
        <f>IF(ROW()-1&lt;=Eingabe!$B$4-Eingabe!$B$3+1,Eingabe!$B$3+ROW()-2,"")</f>
        <v/>
      </c>
      <c r="B32" s="5">
        <f>IF(A32="","",TEXT(A32,"yyyy-mm-dd"))</f>
        <v/>
      </c>
      <c r="C32" s="5">
        <f>IF(A32="","",TEXT(A32,"ddd"))</f>
        <v/>
      </c>
      <c r="D32" s="5">
        <f>IF(A32="","",TEXT(A32,"yyyy-mm"))</f>
        <v/>
      </c>
      <c r="E32" s="5">
        <f>IF(A32="","",IF(A32&lt;Eingabe!$B$5,"",INT((A32-Eingabe!$B$5)/(Eingabe!$B$6*7))+1))</f>
        <v/>
      </c>
      <c r="F32" s="8">
        <f>IF(A32="","",SUMPRODUCT((Eingabe!$B$16:$B$165&lt;&gt;"")*(Eingabe!$J$16:$J$165)*--(A32&gt;=Eingabe!$G$16:$G$165)*--(A32&lt;=Eingabe!$H$16:$H$165)*--(WEEKDAY(A32,2)&lt;=5)))</f>
        <v/>
      </c>
      <c r="G32" s="8">
        <f>IF(A32="","",SUM($F$2:F32))</f>
        <v/>
      </c>
      <c r="H32" s="8">
        <f>IF(A32="","",Eingabe!$B$7-G32)</f>
        <v/>
      </c>
      <c r="I32" s="8">
        <f>IF(A32="","",Eingabe!$B$8-SUMIFS($F$2:F32,$D$2:D32,D32))</f>
        <v/>
      </c>
      <c r="J32" s="8">
        <f>IF(A32="","",IF(E32="",1E+99,IFERROR(VLOOKUP(E32,Eingabe!$D$5:$E$44,2,FALSE),Eingabe!$B$9)))</f>
        <v/>
      </c>
      <c r="K32" s="8">
        <f>IF(A32="","",IF(E32="",1E+99,J32-SUMIFS($F$2:F32,$E$2:E32,E32)))</f>
        <v/>
      </c>
      <c r="L32" s="5">
        <f>IF(A32="","",IF(OR(H32&lt;0,I32&lt;0,K32&lt;0),"UNMOEGLICH","OK"))</f>
        <v/>
      </c>
    </row>
    <row r="33">
      <c r="A33" s="7">
        <f>IF(ROW()-1&lt;=Eingabe!$B$4-Eingabe!$B$3+1,Eingabe!$B$3+ROW()-2,"")</f>
        <v/>
      </c>
      <c r="B33" s="5">
        <f>IF(A33="","",TEXT(A33,"yyyy-mm-dd"))</f>
        <v/>
      </c>
      <c r="C33" s="5">
        <f>IF(A33="","",TEXT(A33,"ddd"))</f>
        <v/>
      </c>
      <c r="D33" s="5">
        <f>IF(A33="","",TEXT(A33,"yyyy-mm"))</f>
        <v/>
      </c>
      <c r="E33" s="5">
        <f>IF(A33="","",IF(A33&lt;Eingabe!$B$5,"",INT((A33-Eingabe!$B$5)/(Eingabe!$B$6*7))+1))</f>
        <v/>
      </c>
      <c r="F33" s="8">
        <f>IF(A33="","",SUMPRODUCT((Eingabe!$B$16:$B$165&lt;&gt;"")*(Eingabe!$J$16:$J$165)*--(A33&gt;=Eingabe!$G$16:$G$165)*--(A33&lt;=Eingabe!$H$16:$H$165)*--(WEEKDAY(A33,2)&lt;=5)))</f>
        <v/>
      </c>
      <c r="G33" s="8">
        <f>IF(A33="","",SUM($F$2:F33))</f>
        <v/>
      </c>
      <c r="H33" s="8">
        <f>IF(A33="","",Eingabe!$B$7-G33)</f>
        <v/>
      </c>
      <c r="I33" s="8">
        <f>IF(A33="","",Eingabe!$B$8-SUMIFS($F$2:F33,$D$2:D33,D33))</f>
        <v/>
      </c>
      <c r="J33" s="8">
        <f>IF(A33="","",IF(E33="",1E+99,IFERROR(VLOOKUP(E33,Eingabe!$D$5:$E$44,2,FALSE),Eingabe!$B$9)))</f>
        <v/>
      </c>
      <c r="K33" s="8">
        <f>IF(A33="","",IF(E33="",1E+99,J33-SUMIFS($F$2:F33,$E$2:E33,E33)))</f>
        <v/>
      </c>
      <c r="L33" s="5">
        <f>IF(A33="","",IF(OR(H33&lt;0,I33&lt;0,K33&lt;0),"UNMOEGLICH","OK"))</f>
        <v/>
      </c>
    </row>
    <row r="34">
      <c r="A34" s="7">
        <f>IF(ROW()-1&lt;=Eingabe!$B$4-Eingabe!$B$3+1,Eingabe!$B$3+ROW()-2,"")</f>
        <v/>
      </c>
      <c r="B34" s="5">
        <f>IF(A34="","",TEXT(A34,"yyyy-mm-dd"))</f>
        <v/>
      </c>
      <c r="C34" s="5">
        <f>IF(A34="","",TEXT(A34,"ddd"))</f>
        <v/>
      </c>
      <c r="D34" s="5">
        <f>IF(A34="","",TEXT(A34,"yyyy-mm"))</f>
        <v/>
      </c>
      <c r="E34" s="5">
        <f>IF(A34="","",IF(A34&lt;Eingabe!$B$5,"",INT((A34-Eingabe!$B$5)/(Eingabe!$B$6*7))+1))</f>
        <v/>
      </c>
      <c r="F34" s="8">
        <f>IF(A34="","",SUMPRODUCT((Eingabe!$B$16:$B$165&lt;&gt;"")*(Eingabe!$J$16:$J$165)*--(A34&gt;=Eingabe!$G$16:$G$165)*--(A34&lt;=Eingabe!$H$16:$H$165)*--(WEEKDAY(A34,2)&lt;=5)))</f>
        <v/>
      </c>
      <c r="G34" s="8">
        <f>IF(A34="","",SUM($F$2:F34))</f>
        <v/>
      </c>
      <c r="H34" s="8">
        <f>IF(A34="","",Eingabe!$B$7-G34)</f>
        <v/>
      </c>
      <c r="I34" s="8">
        <f>IF(A34="","",Eingabe!$B$8-SUMIFS($F$2:F34,$D$2:D34,D34))</f>
        <v/>
      </c>
      <c r="J34" s="8">
        <f>IF(A34="","",IF(E34="",1E+99,IFERROR(VLOOKUP(E34,Eingabe!$D$5:$E$44,2,FALSE),Eingabe!$B$9)))</f>
        <v/>
      </c>
      <c r="K34" s="8">
        <f>IF(A34="","",IF(E34="",1E+99,J34-SUMIFS($F$2:F34,$E$2:E34,E34)))</f>
        <v/>
      </c>
      <c r="L34" s="5">
        <f>IF(A34="","",IF(OR(H34&lt;0,I34&lt;0,K34&lt;0),"UNMOEGLICH","OK"))</f>
        <v/>
      </c>
    </row>
    <row r="35">
      <c r="A35" s="7">
        <f>IF(ROW()-1&lt;=Eingabe!$B$4-Eingabe!$B$3+1,Eingabe!$B$3+ROW()-2,"")</f>
        <v/>
      </c>
      <c r="B35" s="5">
        <f>IF(A35="","",TEXT(A35,"yyyy-mm-dd"))</f>
        <v/>
      </c>
      <c r="C35" s="5">
        <f>IF(A35="","",TEXT(A35,"ddd"))</f>
        <v/>
      </c>
      <c r="D35" s="5">
        <f>IF(A35="","",TEXT(A35,"yyyy-mm"))</f>
        <v/>
      </c>
      <c r="E35" s="5">
        <f>IF(A35="","",IF(A35&lt;Eingabe!$B$5,"",INT((A35-Eingabe!$B$5)/(Eingabe!$B$6*7))+1))</f>
        <v/>
      </c>
      <c r="F35" s="8">
        <f>IF(A35="","",SUMPRODUCT((Eingabe!$B$16:$B$165&lt;&gt;"")*(Eingabe!$J$16:$J$165)*--(A35&gt;=Eingabe!$G$16:$G$165)*--(A35&lt;=Eingabe!$H$16:$H$165)*--(WEEKDAY(A35,2)&lt;=5)))</f>
        <v/>
      </c>
      <c r="G35" s="8">
        <f>IF(A35="","",SUM($F$2:F35))</f>
        <v/>
      </c>
      <c r="H35" s="8">
        <f>IF(A35="","",Eingabe!$B$7-G35)</f>
        <v/>
      </c>
      <c r="I35" s="8">
        <f>IF(A35="","",Eingabe!$B$8-SUMIFS($F$2:F35,$D$2:D35,D35))</f>
        <v/>
      </c>
      <c r="J35" s="8">
        <f>IF(A35="","",IF(E35="",1E+99,IFERROR(VLOOKUP(E35,Eingabe!$D$5:$E$44,2,FALSE),Eingabe!$B$9)))</f>
        <v/>
      </c>
      <c r="K35" s="8">
        <f>IF(A35="","",IF(E35="",1E+99,J35-SUMIFS($F$2:F35,$E$2:E35,E35)))</f>
        <v/>
      </c>
      <c r="L35" s="5">
        <f>IF(A35="","",IF(OR(H35&lt;0,I35&lt;0,K35&lt;0),"UNMOEGLICH","OK"))</f>
        <v/>
      </c>
    </row>
    <row r="36">
      <c r="A36" s="7">
        <f>IF(ROW()-1&lt;=Eingabe!$B$4-Eingabe!$B$3+1,Eingabe!$B$3+ROW()-2,"")</f>
        <v/>
      </c>
      <c r="B36" s="5">
        <f>IF(A36="","",TEXT(A36,"yyyy-mm-dd"))</f>
        <v/>
      </c>
      <c r="C36" s="5">
        <f>IF(A36="","",TEXT(A36,"ddd"))</f>
        <v/>
      </c>
      <c r="D36" s="5">
        <f>IF(A36="","",TEXT(A36,"yyyy-mm"))</f>
        <v/>
      </c>
      <c r="E36" s="5">
        <f>IF(A36="","",IF(A36&lt;Eingabe!$B$5,"",INT((A36-Eingabe!$B$5)/(Eingabe!$B$6*7))+1))</f>
        <v/>
      </c>
      <c r="F36" s="8">
        <f>IF(A36="","",SUMPRODUCT((Eingabe!$B$16:$B$165&lt;&gt;"")*(Eingabe!$J$16:$J$165)*--(A36&gt;=Eingabe!$G$16:$G$165)*--(A36&lt;=Eingabe!$H$16:$H$165)*--(WEEKDAY(A36,2)&lt;=5)))</f>
        <v/>
      </c>
      <c r="G36" s="8">
        <f>IF(A36="","",SUM($F$2:F36))</f>
        <v/>
      </c>
      <c r="H36" s="8">
        <f>IF(A36="","",Eingabe!$B$7-G36)</f>
        <v/>
      </c>
      <c r="I36" s="8">
        <f>IF(A36="","",Eingabe!$B$8-SUMIFS($F$2:F36,$D$2:D36,D36))</f>
        <v/>
      </c>
      <c r="J36" s="8">
        <f>IF(A36="","",IF(E36="",1E+99,IFERROR(VLOOKUP(E36,Eingabe!$D$5:$E$44,2,FALSE),Eingabe!$B$9)))</f>
        <v/>
      </c>
      <c r="K36" s="8">
        <f>IF(A36="","",IF(E36="",1E+99,J36-SUMIFS($F$2:F36,$E$2:E36,E36)))</f>
        <v/>
      </c>
      <c r="L36" s="5">
        <f>IF(A36="","",IF(OR(H36&lt;0,I36&lt;0,K36&lt;0),"UNMOEGLICH","OK"))</f>
        <v/>
      </c>
    </row>
    <row r="37">
      <c r="A37" s="7">
        <f>IF(ROW()-1&lt;=Eingabe!$B$4-Eingabe!$B$3+1,Eingabe!$B$3+ROW()-2,"")</f>
        <v/>
      </c>
      <c r="B37" s="5">
        <f>IF(A37="","",TEXT(A37,"yyyy-mm-dd"))</f>
        <v/>
      </c>
      <c r="C37" s="5">
        <f>IF(A37="","",TEXT(A37,"ddd"))</f>
        <v/>
      </c>
      <c r="D37" s="5">
        <f>IF(A37="","",TEXT(A37,"yyyy-mm"))</f>
        <v/>
      </c>
      <c r="E37" s="5">
        <f>IF(A37="","",IF(A37&lt;Eingabe!$B$5,"",INT((A37-Eingabe!$B$5)/(Eingabe!$B$6*7))+1))</f>
        <v/>
      </c>
      <c r="F37" s="8">
        <f>IF(A37="","",SUMPRODUCT((Eingabe!$B$16:$B$165&lt;&gt;"")*(Eingabe!$J$16:$J$165)*--(A37&gt;=Eingabe!$G$16:$G$165)*--(A37&lt;=Eingabe!$H$16:$H$165)*--(WEEKDAY(A37,2)&lt;=5)))</f>
        <v/>
      </c>
      <c r="G37" s="8">
        <f>IF(A37="","",SUM($F$2:F37))</f>
        <v/>
      </c>
      <c r="H37" s="8">
        <f>IF(A37="","",Eingabe!$B$7-G37)</f>
        <v/>
      </c>
      <c r="I37" s="8">
        <f>IF(A37="","",Eingabe!$B$8-SUMIFS($F$2:F37,$D$2:D37,D37))</f>
        <v/>
      </c>
      <c r="J37" s="8">
        <f>IF(A37="","",IF(E37="",1E+99,IFERROR(VLOOKUP(E37,Eingabe!$D$5:$E$44,2,FALSE),Eingabe!$B$9)))</f>
        <v/>
      </c>
      <c r="K37" s="8">
        <f>IF(A37="","",IF(E37="",1E+99,J37-SUMIFS($F$2:F37,$E$2:E37,E37)))</f>
        <v/>
      </c>
      <c r="L37" s="5">
        <f>IF(A37="","",IF(OR(H37&lt;0,I37&lt;0,K37&lt;0),"UNMOEGLICH","OK"))</f>
        <v/>
      </c>
    </row>
    <row r="38">
      <c r="A38" s="7">
        <f>IF(ROW()-1&lt;=Eingabe!$B$4-Eingabe!$B$3+1,Eingabe!$B$3+ROW()-2,"")</f>
        <v/>
      </c>
      <c r="B38" s="5">
        <f>IF(A38="","",TEXT(A38,"yyyy-mm-dd"))</f>
        <v/>
      </c>
      <c r="C38" s="5">
        <f>IF(A38="","",TEXT(A38,"ddd"))</f>
        <v/>
      </c>
      <c r="D38" s="5">
        <f>IF(A38="","",TEXT(A38,"yyyy-mm"))</f>
        <v/>
      </c>
      <c r="E38" s="5">
        <f>IF(A38="","",IF(A38&lt;Eingabe!$B$5,"",INT((A38-Eingabe!$B$5)/(Eingabe!$B$6*7))+1))</f>
        <v/>
      </c>
      <c r="F38" s="8">
        <f>IF(A38="","",SUMPRODUCT((Eingabe!$B$16:$B$165&lt;&gt;"")*(Eingabe!$J$16:$J$165)*--(A38&gt;=Eingabe!$G$16:$G$165)*--(A38&lt;=Eingabe!$H$16:$H$165)*--(WEEKDAY(A38,2)&lt;=5)))</f>
        <v/>
      </c>
      <c r="G38" s="8">
        <f>IF(A38="","",SUM($F$2:F38))</f>
        <v/>
      </c>
      <c r="H38" s="8">
        <f>IF(A38="","",Eingabe!$B$7-G38)</f>
        <v/>
      </c>
      <c r="I38" s="8">
        <f>IF(A38="","",Eingabe!$B$8-SUMIFS($F$2:F38,$D$2:D38,D38))</f>
        <v/>
      </c>
      <c r="J38" s="8">
        <f>IF(A38="","",IF(E38="",1E+99,IFERROR(VLOOKUP(E38,Eingabe!$D$5:$E$44,2,FALSE),Eingabe!$B$9)))</f>
        <v/>
      </c>
      <c r="K38" s="8">
        <f>IF(A38="","",IF(E38="",1E+99,J38-SUMIFS($F$2:F38,$E$2:E38,E38)))</f>
        <v/>
      </c>
      <c r="L38" s="5">
        <f>IF(A38="","",IF(OR(H38&lt;0,I38&lt;0,K38&lt;0),"UNMOEGLICH","OK"))</f>
        <v/>
      </c>
    </row>
    <row r="39">
      <c r="A39" s="7">
        <f>IF(ROW()-1&lt;=Eingabe!$B$4-Eingabe!$B$3+1,Eingabe!$B$3+ROW()-2,"")</f>
        <v/>
      </c>
      <c r="B39" s="5">
        <f>IF(A39="","",TEXT(A39,"yyyy-mm-dd"))</f>
        <v/>
      </c>
      <c r="C39" s="5">
        <f>IF(A39="","",TEXT(A39,"ddd"))</f>
        <v/>
      </c>
      <c r="D39" s="5">
        <f>IF(A39="","",TEXT(A39,"yyyy-mm"))</f>
        <v/>
      </c>
      <c r="E39" s="5">
        <f>IF(A39="","",IF(A39&lt;Eingabe!$B$5,"",INT((A39-Eingabe!$B$5)/(Eingabe!$B$6*7))+1))</f>
        <v/>
      </c>
      <c r="F39" s="8">
        <f>IF(A39="","",SUMPRODUCT((Eingabe!$B$16:$B$165&lt;&gt;"")*(Eingabe!$J$16:$J$165)*--(A39&gt;=Eingabe!$G$16:$G$165)*--(A39&lt;=Eingabe!$H$16:$H$165)*--(WEEKDAY(A39,2)&lt;=5)))</f>
        <v/>
      </c>
      <c r="G39" s="8">
        <f>IF(A39="","",SUM($F$2:F39))</f>
        <v/>
      </c>
      <c r="H39" s="8">
        <f>IF(A39="","",Eingabe!$B$7-G39)</f>
        <v/>
      </c>
      <c r="I39" s="8">
        <f>IF(A39="","",Eingabe!$B$8-SUMIFS($F$2:F39,$D$2:D39,D39))</f>
        <v/>
      </c>
      <c r="J39" s="8">
        <f>IF(A39="","",IF(E39="",1E+99,IFERROR(VLOOKUP(E39,Eingabe!$D$5:$E$44,2,FALSE),Eingabe!$B$9)))</f>
        <v/>
      </c>
      <c r="K39" s="8">
        <f>IF(A39="","",IF(E39="",1E+99,J39-SUMIFS($F$2:F39,$E$2:E39,E39)))</f>
        <v/>
      </c>
      <c r="L39" s="5">
        <f>IF(A39="","",IF(OR(H39&lt;0,I39&lt;0,K39&lt;0),"UNMOEGLICH","OK"))</f>
        <v/>
      </c>
    </row>
    <row r="40">
      <c r="A40" s="7">
        <f>IF(ROW()-1&lt;=Eingabe!$B$4-Eingabe!$B$3+1,Eingabe!$B$3+ROW()-2,"")</f>
        <v/>
      </c>
      <c r="B40" s="5">
        <f>IF(A40="","",TEXT(A40,"yyyy-mm-dd"))</f>
        <v/>
      </c>
      <c r="C40" s="5">
        <f>IF(A40="","",TEXT(A40,"ddd"))</f>
        <v/>
      </c>
      <c r="D40" s="5">
        <f>IF(A40="","",TEXT(A40,"yyyy-mm"))</f>
        <v/>
      </c>
      <c r="E40" s="5">
        <f>IF(A40="","",IF(A40&lt;Eingabe!$B$5,"",INT((A40-Eingabe!$B$5)/(Eingabe!$B$6*7))+1))</f>
        <v/>
      </c>
      <c r="F40" s="8">
        <f>IF(A40="","",SUMPRODUCT((Eingabe!$B$16:$B$165&lt;&gt;"")*(Eingabe!$J$16:$J$165)*--(A40&gt;=Eingabe!$G$16:$G$165)*--(A40&lt;=Eingabe!$H$16:$H$165)*--(WEEKDAY(A40,2)&lt;=5)))</f>
        <v/>
      </c>
      <c r="G40" s="8">
        <f>IF(A40="","",SUM($F$2:F40))</f>
        <v/>
      </c>
      <c r="H40" s="8">
        <f>IF(A40="","",Eingabe!$B$7-G40)</f>
        <v/>
      </c>
      <c r="I40" s="8">
        <f>IF(A40="","",Eingabe!$B$8-SUMIFS($F$2:F40,$D$2:D40,D40))</f>
        <v/>
      </c>
      <c r="J40" s="8">
        <f>IF(A40="","",IF(E40="",1E+99,IFERROR(VLOOKUP(E40,Eingabe!$D$5:$E$44,2,FALSE),Eingabe!$B$9)))</f>
        <v/>
      </c>
      <c r="K40" s="8">
        <f>IF(A40="","",IF(E40="",1E+99,J40-SUMIFS($F$2:F40,$E$2:E40,E40)))</f>
        <v/>
      </c>
      <c r="L40" s="5">
        <f>IF(A40="","",IF(OR(H40&lt;0,I40&lt;0,K40&lt;0),"UNMOEGLICH","OK"))</f>
        <v/>
      </c>
    </row>
    <row r="41">
      <c r="A41" s="7">
        <f>IF(ROW()-1&lt;=Eingabe!$B$4-Eingabe!$B$3+1,Eingabe!$B$3+ROW()-2,"")</f>
        <v/>
      </c>
      <c r="B41" s="5">
        <f>IF(A41="","",TEXT(A41,"yyyy-mm-dd"))</f>
        <v/>
      </c>
      <c r="C41" s="5">
        <f>IF(A41="","",TEXT(A41,"ddd"))</f>
        <v/>
      </c>
      <c r="D41" s="5">
        <f>IF(A41="","",TEXT(A41,"yyyy-mm"))</f>
        <v/>
      </c>
      <c r="E41" s="5">
        <f>IF(A41="","",IF(A41&lt;Eingabe!$B$5,"",INT((A41-Eingabe!$B$5)/(Eingabe!$B$6*7))+1))</f>
        <v/>
      </c>
      <c r="F41" s="8">
        <f>IF(A41="","",SUMPRODUCT((Eingabe!$B$16:$B$165&lt;&gt;"")*(Eingabe!$J$16:$J$165)*--(A41&gt;=Eingabe!$G$16:$G$165)*--(A41&lt;=Eingabe!$H$16:$H$165)*--(WEEKDAY(A41,2)&lt;=5)))</f>
        <v/>
      </c>
      <c r="G41" s="8">
        <f>IF(A41="","",SUM($F$2:F41))</f>
        <v/>
      </c>
      <c r="H41" s="8">
        <f>IF(A41="","",Eingabe!$B$7-G41)</f>
        <v/>
      </c>
      <c r="I41" s="8">
        <f>IF(A41="","",Eingabe!$B$8-SUMIFS($F$2:F41,$D$2:D41,D41))</f>
        <v/>
      </c>
      <c r="J41" s="8">
        <f>IF(A41="","",IF(E41="",1E+99,IFERROR(VLOOKUP(E41,Eingabe!$D$5:$E$44,2,FALSE),Eingabe!$B$9)))</f>
        <v/>
      </c>
      <c r="K41" s="8">
        <f>IF(A41="","",IF(E41="",1E+99,J41-SUMIFS($F$2:F41,$E$2:E41,E41)))</f>
        <v/>
      </c>
      <c r="L41" s="5">
        <f>IF(A41="","",IF(OR(H41&lt;0,I41&lt;0,K41&lt;0),"UNMOEGLICH","OK"))</f>
        <v/>
      </c>
    </row>
    <row r="42">
      <c r="A42" s="7">
        <f>IF(ROW()-1&lt;=Eingabe!$B$4-Eingabe!$B$3+1,Eingabe!$B$3+ROW()-2,"")</f>
        <v/>
      </c>
      <c r="B42" s="5">
        <f>IF(A42="","",TEXT(A42,"yyyy-mm-dd"))</f>
        <v/>
      </c>
      <c r="C42" s="5">
        <f>IF(A42="","",TEXT(A42,"ddd"))</f>
        <v/>
      </c>
      <c r="D42" s="5">
        <f>IF(A42="","",TEXT(A42,"yyyy-mm"))</f>
        <v/>
      </c>
      <c r="E42" s="5">
        <f>IF(A42="","",IF(A42&lt;Eingabe!$B$5,"",INT((A42-Eingabe!$B$5)/(Eingabe!$B$6*7))+1))</f>
        <v/>
      </c>
      <c r="F42" s="8">
        <f>IF(A42="","",SUMPRODUCT((Eingabe!$B$16:$B$165&lt;&gt;"")*(Eingabe!$J$16:$J$165)*--(A42&gt;=Eingabe!$G$16:$G$165)*--(A42&lt;=Eingabe!$H$16:$H$165)*--(WEEKDAY(A42,2)&lt;=5)))</f>
        <v/>
      </c>
      <c r="G42" s="8">
        <f>IF(A42="","",SUM($F$2:F42))</f>
        <v/>
      </c>
      <c r="H42" s="8">
        <f>IF(A42="","",Eingabe!$B$7-G42)</f>
        <v/>
      </c>
      <c r="I42" s="8">
        <f>IF(A42="","",Eingabe!$B$8-SUMIFS($F$2:F42,$D$2:D42,D42))</f>
        <v/>
      </c>
      <c r="J42" s="8">
        <f>IF(A42="","",IF(E42="",1E+99,IFERROR(VLOOKUP(E42,Eingabe!$D$5:$E$44,2,FALSE),Eingabe!$B$9)))</f>
        <v/>
      </c>
      <c r="K42" s="8">
        <f>IF(A42="","",IF(E42="",1E+99,J42-SUMIFS($F$2:F42,$E$2:E42,E42)))</f>
        <v/>
      </c>
      <c r="L42" s="5">
        <f>IF(A42="","",IF(OR(H42&lt;0,I42&lt;0,K42&lt;0),"UNMOEGLICH","OK"))</f>
        <v/>
      </c>
    </row>
    <row r="43">
      <c r="A43" s="7">
        <f>IF(ROW()-1&lt;=Eingabe!$B$4-Eingabe!$B$3+1,Eingabe!$B$3+ROW()-2,"")</f>
        <v/>
      </c>
      <c r="B43" s="5">
        <f>IF(A43="","",TEXT(A43,"yyyy-mm-dd"))</f>
        <v/>
      </c>
      <c r="C43" s="5">
        <f>IF(A43="","",TEXT(A43,"ddd"))</f>
        <v/>
      </c>
      <c r="D43" s="5">
        <f>IF(A43="","",TEXT(A43,"yyyy-mm"))</f>
        <v/>
      </c>
      <c r="E43" s="5">
        <f>IF(A43="","",IF(A43&lt;Eingabe!$B$5,"",INT((A43-Eingabe!$B$5)/(Eingabe!$B$6*7))+1))</f>
        <v/>
      </c>
      <c r="F43" s="8">
        <f>IF(A43="","",SUMPRODUCT((Eingabe!$B$16:$B$165&lt;&gt;"")*(Eingabe!$J$16:$J$165)*--(A43&gt;=Eingabe!$G$16:$G$165)*--(A43&lt;=Eingabe!$H$16:$H$165)*--(WEEKDAY(A43,2)&lt;=5)))</f>
        <v/>
      </c>
      <c r="G43" s="8">
        <f>IF(A43="","",SUM($F$2:F43))</f>
        <v/>
      </c>
      <c r="H43" s="8">
        <f>IF(A43="","",Eingabe!$B$7-G43)</f>
        <v/>
      </c>
      <c r="I43" s="8">
        <f>IF(A43="","",Eingabe!$B$8-SUMIFS($F$2:F43,$D$2:D43,D43))</f>
        <v/>
      </c>
      <c r="J43" s="8">
        <f>IF(A43="","",IF(E43="",1E+99,IFERROR(VLOOKUP(E43,Eingabe!$D$5:$E$44,2,FALSE),Eingabe!$B$9)))</f>
        <v/>
      </c>
      <c r="K43" s="8">
        <f>IF(A43="","",IF(E43="",1E+99,J43-SUMIFS($F$2:F43,$E$2:E43,E43)))</f>
        <v/>
      </c>
      <c r="L43" s="5">
        <f>IF(A43="","",IF(OR(H43&lt;0,I43&lt;0,K43&lt;0),"UNMOEGLICH","OK"))</f>
        <v/>
      </c>
    </row>
    <row r="44">
      <c r="A44" s="7">
        <f>IF(ROW()-1&lt;=Eingabe!$B$4-Eingabe!$B$3+1,Eingabe!$B$3+ROW()-2,"")</f>
        <v/>
      </c>
      <c r="B44" s="5">
        <f>IF(A44="","",TEXT(A44,"yyyy-mm-dd"))</f>
        <v/>
      </c>
      <c r="C44" s="5">
        <f>IF(A44="","",TEXT(A44,"ddd"))</f>
        <v/>
      </c>
      <c r="D44" s="5">
        <f>IF(A44="","",TEXT(A44,"yyyy-mm"))</f>
        <v/>
      </c>
      <c r="E44" s="5">
        <f>IF(A44="","",IF(A44&lt;Eingabe!$B$5,"",INT((A44-Eingabe!$B$5)/(Eingabe!$B$6*7))+1))</f>
        <v/>
      </c>
      <c r="F44" s="8">
        <f>IF(A44="","",SUMPRODUCT((Eingabe!$B$16:$B$165&lt;&gt;"")*(Eingabe!$J$16:$J$165)*--(A44&gt;=Eingabe!$G$16:$G$165)*--(A44&lt;=Eingabe!$H$16:$H$165)*--(WEEKDAY(A44,2)&lt;=5)))</f>
        <v/>
      </c>
      <c r="G44" s="8">
        <f>IF(A44="","",SUM($F$2:F44))</f>
        <v/>
      </c>
      <c r="H44" s="8">
        <f>IF(A44="","",Eingabe!$B$7-G44)</f>
        <v/>
      </c>
      <c r="I44" s="8">
        <f>IF(A44="","",Eingabe!$B$8-SUMIFS($F$2:F44,$D$2:D44,D44))</f>
        <v/>
      </c>
      <c r="J44" s="8">
        <f>IF(A44="","",IF(E44="",1E+99,IFERROR(VLOOKUP(E44,Eingabe!$D$5:$E$44,2,FALSE),Eingabe!$B$9)))</f>
        <v/>
      </c>
      <c r="K44" s="8">
        <f>IF(A44="","",IF(E44="",1E+99,J44-SUMIFS($F$2:F44,$E$2:E44,E44)))</f>
        <v/>
      </c>
      <c r="L44" s="5">
        <f>IF(A44="","",IF(OR(H44&lt;0,I44&lt;0,K44&lt;0),"UNMOEGLICH","OK"))</f>
        <v/>
      </c>
    </row>
    <row r="45">
      <c r="A45" s="7">
        <f>IF(ROW()-1&lt;=Eingabe!$B$4-Eingabe!$B$3+1,Eingabe!$B$3+ROW()-2,"")</f>
        <v/>
      </c>
      <c r="B45" s="5">
        <f>IF(A45="","",TEXT(A45,"yyyy-mm-dd"))</f>
        <v/>
      </c>
      <c r="C45" s="5">
        <f>IF(A45="","",TEXT(A45,"ddd"))</f>
        <v/>
      </c>
      <c r="D45" s="5">
        <f>IF(A45="","",TEXT(A45,"yyyy-mm"))</f>
        <v/>
      </c>
      <c r="E45" s="5">
        <f>IF(A45="","",IF(A45&lt;Eingabe!$B$5,"",INT((A45-Eingabe!$B$5)/(Eingabe!$B$6*7))+1))</f>
        <v/>
      </c>
      <c r="F45" s="8">
        <f>IF(A45="","",SUMPRODUCT((Eingabe!$B$16:$B$165&lt;&gt;"")*(Eingabe!$J$16:$J$165)*--(A45&gt;=Eingabe!$G$16:$G$165)*--(A45&lt;=Eingabe!$H$16:$H$165)*--(WEEKDAY(A45,2)&lt;=5)))</f>
        <v/>
      </c>
      <c r="G45" s="8">
        <f>IF(A45="","",SUM($F$2:F45))</f>
        <v/>
      </c>
      <c r="H45" s="8">
        <f>IF(A45="","",Eingabe!$B$7-G45)</f>
        <v/>
      </c>
      <c r="I45" s="8">
        <f>IF(A45="","",Eingabe!$B$8-SUMIFS($F$2:F45,$D$2:D45,D45))</f>
        <v/>
      </c>
      <c r="J45" s="8">
        <f>IF(A45="","",IF(E45="",1E+99,IFERROR(VLOOKUP(E45,Eingabe!$D$5:$E$44,2,FALSE),Eingabe!$B$9)))</f>
        <v/>
      </c>
      <c r="K45" s="8">
        <f>IF(A45="","",IF(E45="",1E+99,J45-SUMIFS($F$2:F45,$E$2:E45,E45)))</f>
        <v/>
      </c>
      <c r="L45" s="5">
        <f>IF(A45="","",IF(OR(H45&lt;0,I45&lt;0,K45&lt;0),"UNMOEGLICH","OK"))</f>
        <v/>
      </c>
    </row>
    <row r="46">
      <c r="A46" s="7">
        <f>IF(ROW()-1&lt;=Eingabe!$B$4-Eingabe!$B$3+1,Eingabe!$B$3+ROW()-2,"")</f>
        <v/>
      </c>
      <c r="B46" s="5">
        <f>IF(A46="","",TEXT(A46,"yyyy-mm-dd"))</f>
        <v/>
      </c>
      <c r="C46" s="5">
        <f>IF(A46="","",TEXT(A46,"ddd"))</f>
        <v/>
      </c>
      <c r="D46" s="5">
        <f>IF(A46="","",TEXT(A46,"yyyy-mm"))</f>
        <v/>
      </c>
      <c r="E46" s="5">
        <f>IF(A46="","",IF(A46&lt;Eingabe!$B$5,"",INT((A46-Eingabe!$B$5)/(Eingabe!$B$6*7))+1))</f>
        <v/>
      </c>
      <c r="F46" s="8">
        <f>IF(A46="","",SUMPRODUCT((Eingabe!$B$16:$B$165&lt;&gt;"")*(Eingabe!$J$16:$J$165)*--(A46&gt;=Eingabe!$G$16:$G$165)*--(A46&lt;=Eingabe!$H$16:$H$165)*--(WEEKDAY(A46,2)&lt;=5)))</f>
        <v/>
      </c>
      <c r="G46" s="8">
        <f>IF(A46="","",SUM($F$2:F46))</f>
        <v/>
      </c>
      <c r="H46" s="8">
        <f>IF(A46="","",Eingabe!$B$7-G46)</f>
        <v/>
      </c>
      <c r="I46" s="8">
        <f>IF(A46="","",Eingabe!$B$8-SUMIFS($F$2:F46,$D$2:D46,D46))</f>
        <v/>
      </c>
      <c r="J46" s="8">
        <f>IF(A46="","",IF(E46="",1E+99,IFERROR(VLOOKUP(E46,Eingabe!$D$5:$E$44,2,FALSE),Eingabe!$B$9)))</f>
        <v/>
      </c>
      <c r="K46" s="8">
        <f>IF(A46="","",IF(E46="",1E+99,J46-SUMIFS($F$2:F46,$E$2:E46,E46)))</f>
        <v/>
      </c>
      <c r="L46" s="5">
        <f>IF(A46="","",IF(OR(H46&lt;0,I46&lt;0,K46&lt;0),"UNMOEGLICH","OK"))</f>
        <v/>
      </c>
    </row>
    <row r="47">
      <c r="A47" s="7">
        <f>IF(ROW()-1&lt;=Eingabe!$B$4-Eingabe!$B$3+1,Eingabe!$B$3+ROW()-2,"")</f>
        <v/>
      </c>
      <c r="B47" s="5">
        <f>IF(A47="","",TEXT(A47,"yyyy-mm-dd"))</f>
        <v/>
      </c>
      <c r="C47" s="5">
        <f>IF(A47="","",TEXT(A47,"ddd"))</f>
        <v/>
      </c>
      <c r="D47" s="5">
        <f>IF(A47="","",TEXT(A47,"yyyy-mm"))</f>
        <v/>
      </c>
      <c r="E47" s="5">
        <f>IF(A47="","",IF(A47&lt;Eingabe!$B$5,"",INT((A47-Eingabe!$B$5)/(Eingabe!$B$6*7))+1))</f>
        <v/>
      </c>
      <c r="F47" s="8">
        <f>IF(A47="","",SUMPRODUCT((Eingabe!$B$16:$B$165&lt;&gt;"")*(Eingabe!$J$16:$J$165)*--(A47&gt;=Eingabe!$G$16:$G$165)*--(A47&lt;=Eingabe!$H$16:$H$165)*--(WEEKDAY(A47,2)&lt;=5)))</f>
        <v/>
      </c>
      <c r="G47" s="8">
        <f>IF(A47="","",SUM($F$2:F47))</f>
        <v/>
      </c>
      <c r="H47" s="8">
        <f>IF(A47="","",Eingabe!$B$7-G47)</f>
        <v/>
      </c>
      <c r="I47" s="8">
        <f>IF(A47="","",Eingabe!$B$8-SUMIFS($F$2:F47,$D$2:D47,D47))</f>
        <v/>
      </c>
      <c r="J47" s="8">
        <f>IF(A47="","",IF(E47="",1E+99,IFERROR(VLOOKUP(E47,Eingabe!$D$5:$E$44,2,FALSE),Eingabe!$B$9)))</f>
        <v/>
      </c>
      <c r="K47" s="8">
        <f>IF(A47="","",IF(E47="",1E+99,J47-SUMIFS($F$2:F47,$E$2:E47,E47)))</f>
        <v/>
      </c>
      <c r="L47" s="5">
        <f>IF(A47="","",IF(OR(H47&lt;0,I47&lt;0,K47&lt;0),"UNMOEGLICH","OK"))</f>
        <v/>
      </c>
    </row>
    <row r="48">
      <c r="A48" s="7">
        <f>IF(ROW()-1&lt;=Eingabe!$B$4-Eingabe!$B$3+1,Eingabe!$B$3+ROW()-2,"")</f>
        <v/>
      </c>
      <c r="B48" s="5">
        <f>IF(A48="","",TEXT(A48,"yyyy-mm-dd"))</f>
        <v/>
      </c>
      <c r="C48" s="5">
        <f>IF(A48="","",TEXT(A48,"ddd"))</f>
        <v/>
      </c>
      <c r="D48" s="5">
        <f>IF(A48="","",TEXT(A48,"yyyy-mm"))</f>
        <v/>
      </c>
      <c r="E48" s="5">
        <f>IF(A48="","",IF(A48&lt;Eingabe!$B$5,"",INT((A48-Eingabe!$B$5)/(Eingabe!$B$6*7))+1))</f>
        <v/>
      </c>
      <c r="F48" s="8">
        <f>IF(A48="","",SUMPRODUCT((Eingabe!$B$16:$B$165&lt;&gt;"")*(Eingabe!$J$16:$J$165)*--(A48&gt;=Eingabe!$G$16:$G$165)*--(A48&lt;=Eingabe!$H$16:$H$165)*--(WEEKDAY(A48,2)&lt;=5)))</f>
        <v/>
      </c>
      <c r="G48" s="8">
        <f>IF(A48="","",SUM($F$2:F48))</f>
        <v/>
      </c>
      <c r="H48" s="8">
        <f>IF(A48="","",Eingabe!$B$7-G48)</f>
        <v/>
      </c>
      <c r="I48" s="8">
        <f>IF(A48="","",Eingabe!$B$8-SUMIFS($F$2:F48,$D$2:D48,D48))</f>
        <v/>
      </c>
      <c r="J48" s="8">
        <f>IF(A48="","",IF(E48="",1E+99,IFERROR(VLOOKUP(E48,Eingabe!$D$5:$E$44,2,FALSE),Eingabe!$B$9)))</f>
        <v/>
      </c>
      <c r="K48" s="8">
        <f>IF(A48="","",IF(E48="",1E+99,J48-SUMIFS($F$2:F48,$E$2:E48,E48)))</f>
        <v/>
      </c>
      <c r="L48" s="5">
        <f>IF(A48="","",IF(OR(H48&lt;0,I48&lt;0,K48&lt;0),"UNMOEGLICH","OK"))</f>
        <v/>
      </c>
    </row>
    <row r="49">
      <c r="A49" s="7">
        <f>IF(ROW()-1&lt;=Eingabe!$B$4-Eingabe!$B$3+1,Eingabe!$B$3+ROW()-2,"")</f>
        <v/>
      </c>
      <c r="B49" s="5">
        <f>IF(A49="","",TEXT(A49,"yyyy-mm-dd"))</f>
        <v/>
      </c>
      <c r="C49" s="5">
        <f>IF(A49="","",TEXT(A49,"ddd"))</f>
        <v/>
      </c>
      <c r="D49" s="5">
        <f>IF(A49="","",TEXT(A49,"yyyy-mm"))</f>
        <v/>
      </c>
      <c r="E49" s="5">
        <f>IF(A49="","",IF(A49&lt;Eingabe!$B$5,"",INT((A49-Eingabe!$B$5)/(Eingabe!$B$6*7))+1))</f>
        <v/>
      </c>
      <c r="F49" s="8">
        <f>IF(A49="","",SUMPRODUCT((Eingabe!$B$16:$B$165&lt;&gt;"")*(Eingabe!$J$16:$J$165)*--(A49&gt;=Eingabe!$G$16:$G$165)*--(A49&lt;=Eingabe!$H$16:$H$165)*--(WEEKDAY(A49,2)&lt;=5)))</f>
        <v/>
      </c>
      <c r="G49" s="8">
        <f>IF(A49="","",SUM($F$2:F49))</f>
        <v/>
      </c>
      <c r="H49" s="8">
        <f>IF(A49="","",Eingabe!$B$7-G49)</f>
        <v/>
      </c>
      <c r="I49" s="8">
        <f>IF(A49="","",Eingabe!$B$8-SUMIFS($F$2:F49,$D$2:D49,D49))</f>
        <v/>
      </c>
      <c r="J49" s="8">
        <f>IF(A49="","",IF(E49="",1E+99,IFERROR(VLOOKUP(E49,Eingabe!$D$5:$E$44,2,FALSE),Eingabe!$B$9)))</f>
        <v/>
      </c>
      <c r="K49" s="8">
        <f>IF(A49="","",IF(E49="",1E+99,J49-SUMIFS($F$2:F49,$E$2:E49,E49)))</f>
        <v/>
      </c>
      <c r="L49" s="5">
        <f>IF(A49="","",IF(OR(H49&lt;0,I49&lt;0,K49&lt;0),"UNMOEGLICH","OK"))</f>
        <v/>
      </c>
    </row>
    <row r="50">
      <c r="A50" s="7">
        <f>IF(ROW()-1&lt;=Eingabe!$B$4-Eingabe!$B$3+1,Eingabe!$B$3+ROW()-2,"")</f>
        <v/>
      </c>
      <c r="B50" s="5">
        <f>IF(A50="","",TEXT(A50,"yyyy-mm-dd"))</f>
        <v/>
      </c>
      <c r="C50" s="5">
        <f>IF(A50="","",TEXT(A50,"ddd"))</f>
        <v/>
      </c>
      <c r="D50" s="5">
        <f>IF(A50="","",TEXT(A50,"yyyy-mm"))</f>
        <v/>
      </c>
      <c r="E50" s="5">
        <f>IF(A50="","",IF(A50&lt;Eingabe!$B$5,"",INT((A50-Eingabe!$B$5)/(Eingabe!$B$6*7))+1))</f>
        <v/>
      </c>
      <c r="F50" s="8">
        <f>IF(A50="","",SUMPRODUCT((Eingabe!$B$16:$B$165&lt;&gt;"")*(Eingabe!$J$16:$J$165)*--(A50&gt;=Eingabe!$G$16:$G$165)*--(A50&lt;=Eingabe!$H$16:$H$165)*--(WEEKDAY(A50,2)&lt;=5)))</f>
        <v/>
      </c>
      <c r="G50" s="8">
        <f>IF(A50="","",SUM($F$2:F50))</f>
        <v/>
      </c>
      <c r="H50" s="8">
        <f>IF(A50="","",Eingabe!$B$7-G50)</f>
        <v/>
      </c>
      <c r="I50" s="8">
        <f>IF(A50="","",Eingabe!$B$8-SUMIFS($F$2:F50,$D$2:D50,D50))</f>
        <v/>
      </c>
      <c r="J50" s="8">
        <f>IF(A50="","",IF(E50="",1E+99,IFERROR(VLOOKUP(E50,Eingabe!$D$5:$E$44,2,FALSE),Eingabe!$B$9)))</f>
        <v/>
      </c>
      <c r="K50" s="8">
        <f>IF(A50="","",IF(E50="",1E+99,J50-SUMIFS($F$2:F50,$E$2:E50,E50)))</f>
        <v/>
      </c>
      <c r="L50" s="5">
        <f>IF(A50="","",IF(OR(H50&lt;0,I50&lt;0,K50&lt;0),"UNMOEGLICH","OK"))</f>
        <v/>
      </c>
    </row>
    <row r="51">
      <c r="A51" s="7">
        <f>IF(ROW()-1&lt;=Eingabe!$B$4-Eingabe!$B$3+1,Eingabe!$B$3+ROW()-2,"")</f>
        <v/>
      </c>
      <c r="B51" s="5">
        <f>IF(A51="","",TEXT(A51,"yyyy-mm-dd"))</f>
        <v/>
      </c>
      <c r="C51" s="5">
        <f>IF(A51="","",TEXT(A51,"ddd"))</f>
        <v/>
      </c>
      <c r="D51" s="5">
        <f>IF(A51="","",TEXT(A51,"yyyy-mm"))</f>
        <v/>
      </c>
      <c r="E51" s="5">
        <f>IF(A51="","",IF(A51&lt;Eingabe!$B$5,"",INT((A51-Eingabe!$B$5)/(Eingabe!$B$6*7))+1))</f>
        <v/>
      </c>
      <c r="F51" s="8">
        <f>IF(A51="","",SUMPRODUCT((Eingabe!$B$16:$B$165&lt;&gt;"")*(Eingabe!$J$16:$J$165)*--(A51&gt;=Eingabe!$G$16:$G$165)*--(A51&lt;=Eingabe!$H$16:$H$165)*--(WEEKDAY(A51,2)&lt;=5)))</f>
        <v/>
      </c>
      <c r="G51" s="8">
        <f>IF(A51="","",SUM($F$2:F51))</f>
        <v/>
      </c>
      <c r="H51" s="8">
        <f>IF(A51="","",Eingabe!$B$7-G51)</f>
        <v/>
      </c>
      <c r="I51" s="8">
        <f>IF(A51="","",Eingabe!$B$8-SUMIFS($F$2:F51,$D$2:D51,D51))</f>
        <v/>
      </c>
      <c r="J51" s="8">
        <f>IF(A51="","",IF(E51="",1E+99,IFERROR(VLOOKUP(E51,Eingabe!$D$5:$E$44,2,FALSE),Eingabe!$B$9)))</f>
        <v/>
      </c>
      <c r="K51" s="8">
        <f>IF(A51="","",IF(E51="",1E+99,J51-SUMIFS($F$2:F51,$E$2:E51,E51)))</f>
        <v/>
      </c>
      <c r="L51" s="5">
        <f>IF(A51="","",IF(OR(H51&lt;0,I51&lt;0,K51&lt;0),"UNMOEGLICH","OK"))</f>
        <v/>
      </c>
    </row>
    <row r="52">
      <c r="A52" s="7">
        <f>IF(ROW()-1&lt;=Eingabe!$B$4-Eingabe!$B$3+1,Eingabe!$B$3+ROW()-2,"")</f>
        <v/>
      </c>
      <c r="B52" s="5">
        <f>IF(A52="","",TEXT(A52,"yyyy-mm-dd"))</f>
        <v/>
      </c>
      <c r="C52" s="5">
        <f>IF(A52="","",TEXT(A52,"ddd"))</f>
        <v/>
      </c>
      <c r="D52" s="5">
        <f>IF(A52="","",TEXT(A52,"yyyy-mm"))</f>
        <v/>
      </c>
      <c r="E52" s="5">
        <f>IF(A52="","",IF(A52&lt;Eingabe!$B$5,"",INT((A52-Eingabe!$B$5)/(Eingabe!$B$6*7))+1))</f>
        <v/>
      </c>
      <c r="F52" s="8">
        <f>IF(A52="","",SUMPRODUCT((Eingabe!$B$16:$B$165&lt;&gt;"")*(Eingabe!$J$16:$J$165)*--(A52&gt;=Eingabe!$G$16:$G$165)*--(A52&lt;=Eingabe!$H$16:$H$165)*--(WEEKDAY(A52,2)&lt;=5)))</f>
        <v/>
      </c>
      <c r="G52" s="8">
        <f>IF(A52="","",SUM($F$2:F52))</f>
        <v/>
      </c>
      <c r="H52" s="8">
        <f>IF(A52="","",Eingabe!$B$7-G52)</f>
        <v/>
      </c>
      <c r="I52" s="8">
        <f>IF(A52="","",Eingabe!$B$8-SUMIFS($F$2:F52,$D$2:D52,D52))</f>
        <v/>
      </c>
      <c r="J52" s="8">
        <f>IF(A52="","",IF(E52="",1E+99,IFERROR(VLOOKUP(E52,Eingabe!$D$5:$E$44,2,FALSE),Eingabe!$B$9)))</f>
        <v/>
      </c>
      <c r="K52" s="8">
        <f>IF(A52="","",IF(E52="",1E+99,J52-SUMIFS($F$2:F52,$E$2:E52,E52)))</f>
        <v/>
      </c>
      <c r="L52" s="5">
        <f>IF(A52="","",IF(OR(H52&lt;0,I52&lt;0,K52&lt;0),"UNMOEGLICH","OK"))</f>
        <v/>
      </c>
    </row>
    <row r="53">
      <c r="A53" s="7">
        <f>IF(ROW()-1&lt;=Eingabe!$B$4-Eingabe!$B$3+1,Eingabe!$B$3+ROW()-2,"")</f>
        <v/>
      </c>
      <c r="B53" s="5">
        <f>IF(A53="","",TEXT(A53,"yyyy-mm-dd"))</f>
        <v/>
      </c>
      <c r="C53" s="5">
        <f>IF(A53="","",TEXT(A53,"ddd"))</f>
        <v/>
      </c>
      <c r="D53" s="5">
        <f>IF(A53="","",TEXT(A53,"yyyy-mm"))</f>
        <v/>
      </c>
      <c r="E53" s="5">
        <f>IF(A53="","",IF(A53&lt;Eingabe!$B$5,"",INT((A53-Eingabe!$B$5)/(Eingabe!$B$6*7))+1))</f>
        <v/>
      </c>
      <c r="F53" s="8">
        <f>IF(A53="","",SUMPRODUCT((Eingabe!$B$16:$B$165&lt;&gt;"")*(Eingabe!$J$16:$J$165)*--(A53&gt;=Eingabe!$G$16:$G$165)*--(A53&lt;=Eingabe!$H$16:$H$165)*--(WEEKDAY(A53,2)&lt;=5)))</f>
        <v/>
      </c>
      <c r="G53" s="8">
        <f>IF(A53="","",SUM($F$2:F53))</f>
        <v/>
      </c>
      <c r="H53" s="8">
        <f>IF(A53="","",Eingabe!$B$7-G53)</f>
        <v/>
      </c>
      <c r="I53" s="8">
        <f>IF(A53="","",Eingabe!$B$8-SUMIFS($F$2:F53,$D$2:D53,D53))</f>
        <v/>
      </c>
      <c r="J53" s="8">
        <f>IF(A53="","",IF(E53="",1E+99,IFERROR(VLOOKUP(E53,Eingabe!$D$5:$E$44,2,FALSE),Eingabe!$B$9)))</f>
        <v/>
      </c>
      <c r="K53" s="8">
        <f>IF(A53="","",IF(E53="",1E+99,J53-SUMIFS($F$2:F53,$E$2:E53,E53)))</f>
        <v/>
      </c>
      <c r="L53" s="5">
        <f>IF(A53="","",IF(OR(H53&lt;0,I53&lt;0,K53&lt;0),"UNMOEGLICH","OK"))</f>
        <v/>
      </c>
    </row>
    <row r="54">
      <c r="A54" s="7">
        <f>IF(ROW()-1&lt;=Eingabe!$B$4-Eingabe!$B$3+1,Eingabe!$B$3+ROW()-2,"")</f>
        <v/>
      </c>
      <c r="B54" s="5">
        <f>IF(A54="","",TEXT(A54,"yyyy-mm-dd"))</f>
        <v/>
      </c>
      <c r="C54" s="5">
        <f>IF(A54="","",TEXT(A54,"ddd"))</f>
        <v/>
      </c>
      <c r="D54" s="5">
        <f>IF(A54="","",TEXT(A54,"yyyy-mm"))</f>
        <v/>
      </c>
      <c r="E54" s="5">
        <f>IF(A54="","",IF(A54&lt;Eingabe!$B$5,"",INT((A54-Eingabe!$B$5)/(Eingabe!$B$6*7))+1))</f>
        <v/>
      </c>
      <c r="F54" s="8">
        <f>IF(A54="","",SUMPRODUCT((Eingabe!$B$16:$B$165&lt;&gt;"")*(Eingabe!$J$16:$J$165)*--(A54&gt;=Eingabe!$G$16:$G$165)*--(A54&lt;=Eingabe!$H$16:$H$165)*--(WEEKDAY(A54,2)&lt;=5)))</f>
        <v/>
      </c>
      <c r="G54" s="8">
        <f>IF(A54="","",SUM($F$2:F54))</f>
        <v/>
      </c>
      <c r="H54" s="8">
        <f>IF(A54="","",Eingabe!$B$7-G54)</f>
        <v/>
      </c>
      <c r="I54" s="8">
        <f>IF(A54="","",Eingabe!$B$8-SUMIFS($F$2:F54,$D$2:D54,D54))</f>
        <v/>
      </c>
      <c r="J54" s="8">
        <f>IF(A54="","",IF(E54="",1E+99,IFERROR(VLOOKUP(E54,Eingabe!$D$5:$E$44,2,FALSE),Eingabe!$B$9)))</f>
        <v/>
      </c>
      <c r="K54" s="8">
        <f>IF(A54="","",IF(E54="",1E+99,J54-SUMIFS($F$2:F54,$E$2:E54,E54)))</f>
        <v/>
      </c>
      <c r="L54" s="5">
        <f>IF(A54="","",IF(OR(H54&lt;0,I54&lt;0,K54&lt;0),"UNMOEGLICH","OK"))</f>
        <v/>
      </c>
    </row>
    <row r="55">
      <c r="A55" s="7">
        <f>IF(ROW()-1&lt;=Eingabe!$B$4-Eingabe!$B$3+1,Eingabe!$B$3+ROW()-2,"")</f>
        <v/>
      </c>
      <c r="B55" s="5">
        <f>IF(A55="","",TEXT(A55,"yyyy-mm-dd"))</f>
        <v/>
      </c>
      <c r="C55" s="5">
        <f>IF(A55="","",TEXT(A55,"ddd"))</f>
        <v/>
      </c>
      <c r="D55" s="5">
        <f>IF(A55="","",TEXT(A55,"yyyy-mm"))</f>
        <v/>
      </c>
      <c r="E55" s="5">
        <f>IF(A55="","",IF(A55&lt;Eingabe!$B$5,"",INT((A55-Eingabe!$B$5)/(Eingabe!$B$6*7))+1))</f>
        <v/>
      </c>
      <c r="F55" s="8">
        <f>IF(A55="","",SUMPRODUCT((Eingabe!$B$16:$B$165&lt;&gt;"")*(Eingabe!$J$16:$J$165)*--(A55&gt;=Eingabe!$G$16:$G$165)*--(A55&lt;=Eingabe!$H$16:$H$165)*--(WEEKDAY(A55,2)&lt;=5)))</f>
        <v/>
      </c>
      <c r="G55" s="8">
        <f>IF(A55="","",SUM($F$2:F55))</f>
        <v/>
      </c>
      <c r="H55" s="8">
        <f>IF(A55="","",Eingabe!$B$7-G55)</f>
        <v/>
      </c>
      <c r="I55" s="8">
        <f>IF(A55="","",Eingabe!$B$8-SUMIFS($F$2:F55,$D$2:D55,D55))</f>
        <v/>
      </c>
      <c r="J55" s="8">
        <f>IF(A55="","",IF(E55="",1E+99,IFERROR(VLOOKUP(E55,Eingabe!$D$5:$E$44,2,FALSE),Eingabe!$B$9)))</f>
        <v/>
      </c>
      <c r="K55" s="8">
        <f>IF(A55="","",IF(E55="",1E+99,J55-SUMIFS($F$2:F55,$E$2:E55,E55)))</f>
        <v/>
      </c>
      <c r="L55" s="5">
        <f>IF(A55="","",IF(OR(H55&lt;0,I55&lt;0,K55&lt;0),"UNMOEGLICH","OK"))</f>
        <v/>
      </c>
    </row>
    <row r="56">
      <c r="A56" s="7">
        <f>IF(ROW()-1&lt;=Eingabe!$B$4-Eingabe!$B$3+1,Eingabe!$B$3+ROW()-2,"")</f>
        <v/>
      </c>
      <c r="B56" s="5">
        <f>IF(A56="","",TEXT(A56,"yyyy-mm-dd"))</f>
        <v/>
      </c>
      <c r="C56" s="5">
        <f>IF(A56="","",TEXT(A56,"ddd"))</f>
        <v/>
      </c>
      <c r="D56" s="5">
        <f>IF(A56="","",TEXT(A56,"yyyy-mm"))</f>
        <v/>
      </c>
      <c r="E56" s="5">
        <f>IF(A56="","",IF(A56&lt;Eingabe!$B$5,"",INT((A56-Eingabe!$B$5)/(Eingabe!$B$6*7))+1))</f>
        <v/>
      </c>
      <c r="F56" s="8">
        <f>IF(A56="","",SUMPRODUCT((Eingabe!$B$16:$B$165&lt;&gt;"")*(Eingabe!$J$16:$J$165)*--(A56&gt;=Eingabe!$G$16:$G$165)*--(A56&lt;=Eingabe!$H$16:$H$165)*--(WEEKDAY(A56,2)&lt;=5)))</f>
        <v/>
      </c>
      <c r="G56" s="8">
        <f>IF(A56="","",SUM($F$2:F56))</f>
        <v/>
      </c>
      <c r="H56" s="8">
        <f>IF(A56="","",Eingabe!$B$7-G56)</f>
        <v/>
      </c>
      <c r="I56" s="8">
        <f>IF(A56="","",Eingabe!$B$8-SUMIFS($F$2:F56,$D$2:D56,D56))</f>
        <v/>
      </c>
      <c r="J56" s="8">
        <f>IF(A56="","",IF(E56="",1E+99,IFERROR(VLOOKUP(E56,Eingabe!$D$5:$E$44,2,FALSE),Eingabe!$B$9)))</f>
        <v/>
      </c>
      <c r="K56" s="8">
        <f>IF(A56="","",IF(E56="",1E+99,J56-SUMIFS($F$2:F56,$E$2:E56,E56)))</f>
        <v/>
      </c>
      <c r="L56" s="5">
        <f>IF(A56="","",IF(OR(H56&lt;0,I56&lt;0,K56&lt;0),"UNMOEGLICH","OK"))</f>
        <v/>
      </c>
    </row>
    <row r="57">
      <c r="A57" s="7">
        <f>IF(ROW()-1&lt;=Eingabe!$B$4-Eingabe!$B$3+1,Eingabe!$B$3+ROW()-2,"")</f>
        <v/>
      </c>
      <c r="B57" s="5">
        <f>IF(A57="","",TEXT(A57,"yyyy-mm-dd"))</f>
        <v/>
      </c>
      <c r="C57" s="5">
        <f>IF(A57="","",TEXT(A57,"ddd"))</f>
        <v/>
      </c>
      <c r="D57" s="5">
        <f>IF(A57="","",TEXT(A57,"yyyy-mm"))</f>
        <v/>
      </c>
      <c r="E57" s="5">
        <f>IF(A57="","",IF(A57&lt;Eingabe!$B$5,"",INT((A57-Eingabe!$B$5)/(Eingabe!$B$6*7))+1))</f>
        <v/>
      </c>
      <c r="F57" s="8">
        <f>IF(A57="","",SUMPRODUCT((Eingabe!$B$16:$B$165&lt;&gt;"")*(Eingabe!$J$16:$J$165)*--(A57&gt;=Eingabe!$G$16:$G$165)*--(A57&lt;=Eingabe!$H$16:$H$165)*--(WEEKDAY(A57,2)&lt;=5)))</f>
        <v/>
      </c>
      <c r="G57" s="8">
        <f>IF(A57="","",SUM($F$2:F57))</f>
        <v/>
      </c>
      <c r="H57" s="8">
        <f>IF(A57="","",Eingabe!$B$7-G57)</f>
        <v/>
      </c>
      <c r="I57" s="8">
        <f>IF(A57="","",Eingabe!$B$8-SUMIFS($F$2:F57,$D$2:D57,D57))</f>
        <v/>
      </c>
      <c r="J57" s="8">
        <f>IF(A57="","",IF(E57="",1E+99,IFERROR(VLOOKUP(E57,Eingabe!$D$5:$E$44,2,FALSE),Eingabe!$B$9)))</f>
        <v/>
      </c>
      <c r="K57" s="8">
        <f>IF(A57="","",IF(E57="",1E+99,J57-SUMIFS($F$2:F57,$E$2:E57,E57)))</f>
        <v/>
      </c>
      <c r="L57" s="5">
        <f>IF(A57="","",IF(OR(H57&lt;0,I57&lt;0,K57&lt;0),"UNMOEGLICH","OK"))</f>
        <v/>
      </c>
    </row>
    <row r="58">
      <c r="A58" s="7">
        <f>IF(ROW()-1&lt;=Eingabe!$B$4-Eingabe!$B$3+1,Eingabe!$B$3+ROW()-2,"")</f>
        <v/>
      </c>
      <c r="B58" s="5">
        <f>IF(A58="","",TEXT(A58,"yyyy-mm-dd"))</f>
        <v/>
      </c>
      <c r="C58" s="5">
        <f>IF(A58="","",TEXT(A58,"ddd"))</f>
        <v/>
      </c>
      <c r="D58" s="5">
        <f>IF(A58="","",TEXT(A58,"yyyy-mm"))</f>
        <v/>
      </c>
      <c r="E58" s="5">
        <f>IF(A58="","",IF(A58&lt;Eingabe!$B$5,"",INT((A58-Eingabe!$B$5)/(Eingabe!$B$6*7))+1))</f>
        <v/>
      </c>
      <c r="F58" s="8">
        <f>IF(A58="","",SUMPRODUCT((Eingabe!$B$16:$B$165&lt;&gt;"")*(Eingabe!$J$16:$J$165)*--(A58&gt;=Eingabe!$G$16:$G$165)*--(A58&lt;=Eingabe!$H$16:$H$165)*--(WEEKDAY(A58,2)&lt;=5)))</f>
        <v/>
      </c>
      <c r="G58" s="8">
        <f>IF(A58="","",SUM($F$2:F58))</f>
        <v/>
      </c>
      <c r="H58" s="8">
        <f>IF(A58="","",Eingabe!$B$7-G58)</f>
        <v/>
      </c>
      <c r="I58" s="8">
        <f>IF(A58="","",Eingabe!$B$8-SUMIFS($F$2:F58,$D$2:D58,D58))</f>
        <v/>
      </c>
      <c r="J58" s="8">
        <f>IF(A58="","",IF(E58="",1E+99,IFERROR(VLOOKUP(E58,Eingabe!$D$5:$E$44,2,FALSE),Eingabe!$B$9)))</f>
        <v/>
      </c>
      <c r="K58" s="8">
        <f>IF(A58="","",IF(E58="",1E+99,J58-SUMIFS($F$2:F58,$E$2:E58,E58)))</f>
        <v/>
      </c>
      <c r="L58" s="5">
        <f>IF(A58="","",IF(OR(H58&lt;0,I58&lt;0,K58&lt;0),"UNMOEGLICH","OK"))</f>
        <v/>
      </c>
    </row>
    <row r="59">
      <c r="A59" s="7">
        <f>IF(ROW()-1&lt;=Eingabe!$B$4-Eingabe!$B$3+1,Eingabe!$B$3+ROW()-2,"")</f>
        <v/>
      </c>
      <c r="B59" s="5">
        <f>IF(A59="","",TEXT(A59,"yyyy-mm-dd"))</f>
        <v/>
      </c>
      <c r="C59" s="5">
        <f>IF(A59="","",TEXT(A59,"ddd"))</f>
        <v/>
      </c>
      <c r="D59" s="5">
        <f>IF(A59="","",TEXT(A59,"yyyy-mm"))</f>
        <v/>
      </c>
      <c r="E59" s="5">
        <f>IF(A59="","",IF(A59&lt;Eingabe!$B$5,"",INT((A59-Eingabe!$B$5)/(Eingabe!$B$6*7))+1))</f>
        <v/>
      </c>
      <c r="F59" s="8">
        <f>IF(A59="","",SUMPRODUCT((Eingabe!$B$16:$B$165&lt;&gt;"")*(Eingabe!$J$16:$J$165)*--(A59&gt;=Eingabe!$G$16:$G$165)*--(A59&lt;=Eingabe!$H$16:$H$165)*--(WEEKDAY(A59,2)&lt;=5)))</f>
        <v/>
      </c>
      <c r="G59" s="8">
        <f>IF(A59="","",SUM($F$2:F59))</f>
        <v/>
      </c>
      <c r="H59" s="8">
        <f>IF(A59="","",Eingabe!$B$7-G59)</f>
        <v/>
      </c>
      <c r="I59" s="8">
        <f>IF(A59="","",Eingabe!$B$8-SUMIFS($F$2:F59,$D$2:D59,D59))</f>
        <v/>
      </c>
      <c r="J59" s="8">
        <f>IF(A59="","",IF(E59="",1E+99,IFERROR(VLOOKUP(E59,Eingabe!$D$5:$E$44,2,FALSE),Eingabe!$B$9)))</f>
        <v/>
      </c>
      <c r="K59" s="8">
        <f>IF(A59="","",IF(E59="",1E+99,J59-SUMIFS($F$2:F59,$E$2:E59,E59)))</f>
        <v/>
      </c>
      <c r="L59" s="5">
        <f>IF(A59="","",IF(OR(H59&lt;0,I59&lt;0,K59&lt;0),"UNMOEGLICH","OK"))</f>
        <v/>
      </c>
    </row>
    <row r="60">
      <c r="A60" s="7">
        <f>IF(ROW()-1&lt;=Eingabe!$B$4-Eingabe!$B$3+1,Eingabe!$B$3+ROW()-2,"")</f>
        <v/>
      </c>
      <c r="B60" s="5">
        <f>IF(A60="","",TEXT(A60,"yyyy-mm-dd"))</f>
        <v/>
      </c>
      <c r="C60" s="5">
        <f>IF(A60="","",TEXT(A60,"ddd"))</f>
        <v/>
      </c>
      <c r="D60" s="5">
        <f>IF(A60="","",TEXT(A60,"yyyy-mm"))</f>
        <v/>
      </c>
      <c r="E60" s="5">
        <f>IF(A60="","",IF(A60&lt;Eingabe!$B$5,"",INT((A60-Eingabe!$B$5)/(Eingabe!$B$6*7))+1))</f>
        <v/>
      </c>
      <c r="F60" s="8">
        <f>IF(A60="","",SUMPRODUCT((Eingabe!$B$16:$B$165&lt;&gt;"")*(Eingabe!$J$16:$J$165)*--(A60&gt;=Eingabe!$G$16:$G$165)*--(A60&lt;=Eingabe!$H$16:$H$165)*--(WEEKDAY(A60,2)&lt;=5)))</f>
        <v/>
      </c>
      <c r="G60" s="8">
        <f>IF(A60="","",SUM($F$2:F60))</f>
        <v/>
      </c>
      <c r="H60" s="8">
        <f>IF(A60="","",Eingabe!$B$7-G60)</f>
        <v/>
      </c>
      <c r="I60" s="8">
        <f>IF(A60="","",Eingabe!$B$8-SUMIFS($F$2:F60,$D$2:D60,D60))</f>
        <v/>
      </c>
      <c r="J60" s="8">
        <f>IF(A60="","",IF(E60="",1E+99,IFERROR(VLOOKUP(E60,Eingabe!$D$5:$E$44,2,FALSE),Eingabe!$B$9)))</f>
        <v/>
      </c>
      <c r="K60" s="8">
        <f>IF(A60="","",IF(E60="",1E+99,J60-SUMIFS($F$2:F60,$E$2:E60,E60)))</f>
        <v/>
      </c>
      <c r="L60" s="5">
        <f>IF(A60="","",IF(OR(H60&lt;0,I60&lt;0,K60&lt;0),"UNMOEGLICH","OK"))</f>
        <v/>
      </c>
    </row>
    <row r="61">
      <c r="A61" s="7">
        <f>IF(ROW()-1&lt;=Eingabe!$B$4-Eingabe!$B$3+1,Eingabe!$B$3+ROW()-2,"")</f>
        <v/>
      </c>
      <c r="B61" s="5">
        <f>IF(A61="","",TEXT(A61,"yyyy-mm-dd"))</f>
        <v/>
      </c>
      <c r="C61" s="5">
        <f>IF(A61="","",TEXT(A61,"ddd"))</f>
        <v/>
      </c>
      <c r="D61" s="5">
        <f>IF(A61="","",TEXT(A61,"yyyy-mm"))</f>
        <v/>
      </c>
      <c r="E61" s="5">
        <f>IF(A61="","",IF(A61&lt;Eingabe!$B$5,"",INT((A61-Eingabe!$B$5)/(Eingabe!$B$6*7))+1))</f>
        <v/>
      </c>
      <c r="F61" s="8">
        <f>IF(A61="","",SUMPRODUCT((Eingabe!$B$16:$B$165&lt;&gt;"")*(Eingabe!$J$16:$J$165)*--(A61&gt;=Eingabe!$G$16:$G$165)*--(A61&lt;=Eingabe!$H$16:$H$165)*--(WEEKDAY(A61,2)&lt;=5)))</f>
        <v/>
      </c>
      <c r="G61" s="8">
        <f>IF(A61="","",SUM($F$2:F61))</f>
        <v/>
      </c>
      <c r="H61" s="8">
        <f>IF(A61="","",Eingabe!$B$7-G61)</f>
        <v/>
      </c>
      <c r="I61" s="8">
        <f>IF(A61="","",Eingabe!$B$8-SUMIFS($F$2:F61,$D$2:D61,D61))</f>
        <v/>
      </c>
      <c r="J61" s="8">
        <f>IF(A61="","",IF(E61="",1E+99,IFERROR(VLOOKUP(E61,Eingabe!$D$5:$E$44,2,FALSE),Eingabe!$B$9)))</f>
        <v/>
      </c>
      <c r="K61" s="8">
        <f>IF(A61="","",IF(E61="",1E+99,J61-SUMIFS($F$2:F61,$E$2:E61,E61)))</f>
        <v/>
      </c>
      <c r="L61" s="5">
        <f>IF(A61="","",IF(OR(H61&lt;0,I61&lt;0,K61&lt;0),"UNMOEGLICH","OK"))</f>
        <v/>
      </c>
    </row>
    <row r="62">
      <c r="A62" s="7">
        <f>IF(ROW()-1&lt;=Eingabe!$B$4-Eingabe!$B$3+1,Eingabe!$B$3+ROW()-2,"")</f>
        <v/>
      </c>
      <c r="B62" s="5">
        <f>IF(A62="","",TEXT(A62,"yyyy-mm-dd"))</f>
        <v/>
      </c>
      <c r="C62" s="5">
        <f>IF(A62="","",TEXT(A62,"ddd"))</f>
        <v/>
      </c>
      <c r="D62" s="5">
        <f>IF(A62="","",TEXT(A62,"yyyy-mm"))</f>
        <v/>
      </c>
      <c r="E62" s="5">
        <f>IF(A62="","",IF(A62&lt;Eingabe!$B$5,"",INT((A62-Eingabe!$B$5)/(Eingabe!$B$6*7))+1))</f>
        <v/>
      </c>
      <c r="F62" s="8">
        <f>IF(A62="","",SUMPRODUCT((Eingabe!$B$16:$B$165&lt;&gt;"")*(Eingabe!$J$16:$J$165)*--(A62&gt;=Eingabe!$G$16:$G$165)*--(A62&lt;=Eingabe!$H$16:$H$165)*--(WEEKDAY(A62,2)&lt;=5)))</f>
        <v/>
      </c>
      <c r="G62" s="8">
        <f>IF(A62="","",SUM($F$2:F62))</f>
        <v/>
      </c>
      <c r="H62" s="8">
        <f>IF(A62="","",Eingabe!$B$7-G62)</f>
        <v/>
      </c>
      <c r="I62" s="8">
        <f>IF(A62="","",Eingabe!$B$8-SUMIFS($F$2:F62,$D$2:D62,D62))</f>
        <v/>
      </c>
      <c r="J62" s="8">
        <f>IF(A62="","",IF(E62="",1E+99,IFERROR(VLOOKUP(E62,Eingabe!$D$5:$E$44,2,FALSE),Eingabe!$B$9)))</f>
        <v/>
      </c>
      <c r="K62" s="8">
        <f>IF(A62="","",IF(E62="",1E+99,J62-SUMIFS($F$2:F62,$E$2:E62,E62)))</f>
        <v/>
      </c>
      <c r="L62" s="5">
        <f>IF(A62="","",IF(OR(H62&lt;0,I62&lt;0,K62&lt;0),"UNMOEGLICH","OK"))</f>
        <v/>
      </c>
    </row>
    <row r="63">
      <c r="A63" s="7">
        <f>IF(ROW()-1&lt;=Eingabe!$B$4-Eingabe!$B$3+1,Eingabe!$B$3+ROW()-2,"")</f>
        <v/>
      </c>
      <c r="B63" s="5">
        <f>IF(A63="","",TEXT(A63,"yyyy-mm-dd"))</f>
        <v/>
      </c>
      <c r="C63" s="5">
        <f>IF(A63="","",TEXT(A63,"ddd"))</f>
        <v/>
      </c>
      <c r="D63" s="5">
        <f>IF(A63="","",TEXT(A63,"yyyy-mm"))</f>
        <v/>
      </c>
      <c r="E63" s="5">
        <f>IF(A63="","",IF(A63&lt;Eingabe!$B$5,"",INT((A63-Eingabe!$B$5)/(Eingabe!$B$6*7))+1))</f>
        <v/>
      </c>
      <c r="F63" s="8">
        <f>IF(A63="","",SUMPRODUCT((Eingabe!$B$16:$B$165&lt;&gt;"")*(Eingabe!$J$16:$J$165)*--(A63&gt;=Eingabe!$G$16:$G$165)*--(A63&lt;=Eingabe!$H$16:$H$165)*--(WEEKDAY(A63,2)&lt;=5)))</f>
        <v/>
      </c>
      <c r="G63" s="8">
        <f>IF(A63="","",SUM($F$2:F63))</f>
        <v/>
      </c>
      <c r="H63" s="8">
        <f>IF(A63="","",Eingabe!$B$7-G63)</f>
        <v/>
      </c>
      <c r="I63" s="8">
        <f>IF(A63="","",Eingabe!$B$8-SUMIFS($F$2:F63,$D$2:D63,D63))</f>
        <v/>
      </c>
      <c r="J63" s="8">
        <f>IF(A63="","",IF(E63="",1E+99,IFERROR(VLOOKUP(E63,Eingabe!$D$5:$E$44,2,FALSE),Eingabe!$B$9)))</f>
        <v/>
      </c>
      <c r="K63" s="8">
        <f>IF(A63="","",IF(E63="",1E+99,J63-SUMIFS($F$2:F63,$E$2:E63,E63)))</f>
        <v/>
      </c>
      <c r="L63" s="5">
        <f>IF(A63="","",IF(OR(H63&lt;0,I63&lt;0,K63&lt;0),"UNMOEGLICH","OK"))</f>
        <v/>
      </c>
    </row>
    <row r="64">
      <c r="A64" s="7">
        <f>IF(ROW()-1&lt;=Eingabe!$B$4-Eingabe!$B$3+1,Eingabe!$B$3+ROW()-2,"")</f>
        <v/>
      </c>
      <c r="B64" s="5">
        <f>IF(A64="","",TEXT(A64,"yyyy-mm-dd"))</f>
        <v/>
      </c>
      <c r="C64" s="5">
        <f>IF(A64="","",TEXT(A64,"ddd"))</f>
        <v/>
      </c>
      <c r="D64" s="5">
        <f>IF(A64="","",TEXT(A64,"yyyy-mm"))</f>
        <v/>
      </c>
      <c r="E64" s="5">
        <f>IF(A64="","",IF(A64&lt;Eingabe!$B$5,"",INT((A64-Eingabe!$B$5)/(Eingabe!$B$6*7))+1))</f>
        <v/>
      </c>
      <c r="F64" s="8">
        <f>IF(A64="","",SUMPRODUCT((Eingabe!$B$16:$B$165&lt;&gt;"")*(Eingabe!$J$16:$J$165)*--(A64&gt;=Eingabe!$G$16:$G$165)*--(A64&lt;=Eingabe!$H$16:$H$165)*--(WEEKDAY(A64,2)&lt;=5)))</f>
        <v/>
      </c>
      <c r="G64" s="8">
        <f>IF(A64="","",SUM($F$2:F64))</f>
        <v/>
      </c>
      <c r="H64" s="8">
        <f>IF(A64="","",Eingabe!$B$7-G64)</f>
        <v/>
      </c>
      <c r="I64" s="8">
        <f>IF(A64="","",Eingabe!$B$8-SUMIFS($F$2:F64,$D$2:D64,D64))</f>
        <v/>
      </c>
      <c r="J64" s="8">
        <f>IF(A64="","",IF(E64="",1E+99,IFERROR(VLOOKUP(E64,Eingabe!$D$5:$E$44,2,FALSE),Eingabe!$B$9)))</f>
        <v/>
      </c>
      <c r="K64" s="8">
        <f>IF(A64="","",IF(E64="",1E+99,J64-SUMIFS($F$2:F64,$E$2:E64,E64)))</f>
        <v/>
      </c>
      <c r="L64" s="5">
        <f>IF(A64="","",IF(OR(H64&lt;0,I64&lt;0,K64&lt;0),"UNMOEGLICH","OK"))</f>
        <v/>
      </c>
    </row>
    <row r="65">
      <c r="A65" s="7">
        <f>IF(ROW()-1&lt;=Eingabe!$B$4-Eingabe!$B$3+1,Eingabe!$B$3+ROW()-2,"")</f>
        <v/>
      </c>
      <c r="B65" s="5">
        <f>IF(A65="","",TEXT(A65,"yyyy-mm-dd"))</f>
        <v/>
      </c>
      <c r="C65" s="5">
        <f>IF(A65="","",TEXT(A65,"ddd"))</f>
        <v/>
      </c>
      <c r="D65" s="5">
        <f>IF(A65="","",TEXT(A65,"yyyy-mm"))</f>
        <v/>
      </c>
      <c r="E65" s="5">
        <f>IF(A65="","",IF(A65&lt;Eingabe!$B$5,"",INT((A65-Eingabe!$B$5)/(Eingabe!$B$6*7))+1))</f>
        <v/>
      </c>
      <c r="F65" s="8">
        <f>IF(A65="","",SUMPRODUCT((Eingabe!$B$16:$B$165&lt;&gt;"")*(Eingabe!$J$16:$J$165)*--(A65&gt;=Eingabe!$G$16:$G$165)*--(A65&lt;=Eingabe!$H$16:$H$165)*--(WEEKDAY(A65,2)&lt;=5)))</f>
        <v/>
      </c>
      <c r="G65" s="8">
        <f>IF(A65="","",SUM($F$2:F65))</f>
        <v/>
      </c>
      <c r="H65" s="8">
        <f>IF(A65="","",Eingabe!$B$7-G65)</f>
        <v/>
      </c>
      <c r="I65" s="8">
        <f>IF(A65="","",Eingabe!$B$8-SUMIFS($F$2:F65,$D$2:D65,D65))</f>
        <v/>
      </c>
      <c r="J65" s="8">
        <f>IF(A65="","",IF(E65="",1E+99,IFERROR(VLOOKUP(E65,Eingabe!$D$5:$E$44,2,FALSE),Eingabe!$B$9)))</f>
        <v/>
      </c>
      <c r="K65" s="8">
        <f>IF(A65="","",IF(E65="",1E+99,J65-SUMIFS($F$2:F65,$E$2:E65,E65)))</f>
        <v/>
      </c>
      <c r="L65" s="5">
        <f>IF(A65="","",IF(OR(H65&lt;0,I65&lt;0,K65&lt;0),"UNMOEGLICH","OK"))</f>
        <v/>
      </c>
    </row>
    <row r="66">
      <c r="A66" s="7">
        <f>IF(ROW()-1&lt;=Eingabe!$B$4-Eingabe!$B$3+1,Eingabe!$B$3+ROW()-2,"")</f>
        <v/>
      </c>
      <c r="B66" s="5">
        <f>IF(A66="","",TEXT(A66,"yyyy-mm-dd"))</f>
        <v/>
      </c>
      <c r="C66" s="5">
        <f>IF(A66="","",TEXT(A66,"ddd"))</f>
        <v/>
      </c>
      <c r="D66" s="5">
        <f>IF(A66="","",TEXT(A66,"yyyy-mm"))</f>
        <v/>
      </c>
      <c r="E66" s="5">
        <f>IF(A66="","",IF(A66&lt;Eingabe!$B$5,"",INT((A66-Eingabe!$B$5)/(Eingabe!$B$6*7))+1))</f>
        <v/>
      </c>
      <c r="F66" s="8">
        <f>IF(A66="","",SUMPRODUCT((Eingabe!$B$16:$B$165&lt;&gt;"")*(Eingabe!$J$16:$J$165)*--(A66&gt;=Eingabe!$G$16:$G$165)*--(A66&lt;=Eingabe!$H$16:$H$165)*--(WEEKDAY(A66,2)&lt;=5)))</f>
        <v/>
      </c>
      <c r="G66" s="8">
        <f>IF(A66="","",SUM($F$2:F66))</f>
        <v/>
      </c>
      <c r="H66" s="8">
        <f>IF(A66="","",Eingabe!$B$7-G66)</f>
        <v/>
      </c>
      <c r="I66" s="8">
        <f>IF(A66="","",Eingabe!$B$8-SUMIFS($F$2:F66,$D$2:D66,D66))</f>
        <v/>
      </c>
      <c r="J66" s="8">
        <f>IF(A66="","",IF(E66="",1E+99,IFERROR(VLOOKUP(E66,Eingabe!$D$5:$E$44,2,FALSE),Eingabe!$B$9)))</f>
        <v/>
      </c>
      <c r="K66" s="8">
        <f>IF(A66="","",IF(E66="",1E+99,J66-SUMIFS($F$2:F66,$E$2:E66,E66)))</f>
        <v/>
      </c>
      <c r="L66" s="5">
        <f>IF(A66="","",IF(OR(H66&lt;0,I66&lt;0,K66&lt;0),"UNMOEGLICH","OK"))</f>
        <v/>
      </c>
    </row>
    <row r="67">
      <c r="A67" s="7">
        <f>IF(ROW()-1&lt;=Eingabe!$B$4-Eingabe!$B$3+1,Eingabe!$B$3+ROW()-2,"")</f>
        <v/>
      </c>
      <c r="B67" s="5">
        <f>IF(A67="","",TEXT(A67,"yyyy-mm-dd"))</f>
        <v/>
      </c>
      <c r="C67" s="5">
        <f>IF(A67="","",TEXT(A67,"ddd"))</f>
        <v/>
      </c>
      <c r="D67" s="5">
        <f>IF(A67="","",TEXT(A67,"yyyy-mm"))</f>
        <v/>
      </c>
      <c r="E67" s="5">
        <f>IF(A67="","",IF(A67&lt;Eingabe!$B$5,"",INT((A67-Eingabe!$B$5)/(Eingabe!$B$6*7))+1))</f>
        <v/>
      </c>
      <c r="F67" s="8">
        <f>IF(A67="","",SUMPRODUCT((Eingabe!$B$16:$B$165&lt;&gt;"")*(Eingabe!$J$16:$J$165)*--(A67&gt;=Eingabe!$G$16:$G$165)*--(A67&lt;=Eingabe!$H$16:$H$165)*--(WEEKDAY(A67,2)&lt;=5)))</f>
        <v/>
      </c>
      <c r="G67" s="8">
        <f>IF(A67="","",SUM($F$2:F67))</f>
        <v/>
      </c>
      <c r="H67" s="8">
        <f>IF(A67="","",Eingabe!$B$7-G67)</f>
        <v/>
      </c>
      <c r="I67" s="8">
        <f>IF(A67="","",Eingabe!$B$8-SUMIFS($F$2:F67,$D$2:D67,D67))</f>
        <v/>
      </c>
      <c r="J67" s="8">
        <f>IF(A67="","",IF(E67="",1E+99,IFERROR(VLOOKUP(E67,Eingabe!$D$5:$E$44,2,FALSE),Eingabe!$B$9)))</f>
        <v/>
      </c>
      <c r="K67" s="8">
        <f>IF(A67="","",IF(E67="",1E+99,J67-SUMIFS($F$2:F67,$E$2:E67,E67)))</f>
        <v/>
      </c>
      <c r="L67" s="5">
        <f>IF(A67="","",IF(OR(H67&lt;0,I67&lt;0,K67&lt;0),"UNMOEGLICH","OK"))</f>
        <v/>
      </c>
    </row>
    <row r="68">
      <c r="A68" s="7">
        <f>IF(ROW()-1&lt;=Eingabe!$B$4-Eingabe!$B$3+1,Eingabe!$B$3+ROW()-2,"")</f>
        <v/>
      </c>
      <c r="B68" s="5">
        <f>IF(A68="","",TEXT(A68,"yyyy-mm-dd"))</f>
        <v/>
      </c>
      <c r="C68" s="5">
        <f>IF(A68="","",TEXT(A68,"ddd"))</f>
        <v/>
      </c>
      <c r="D68" s="5">
        <f>IF(A68="","",TEXT(A68,"yyyy-mm"))</f>
        <v/>
      </c>
      <c r="E68" s="5">
        <f>IF(A68="","",IF(A68&lt;Eingabe!$B$5,"",INT((A68-Eingabe!$B$5)/(Eingabe!$B$6*7))+1))</f>
        <v/>
      </c>
      <c r="F68" s="8">
        <f>IF(A68="","",SUMPRODUCT((Eingabe!$B$16:$B$165&lt;&gt;"")*(Eingabe!$J$16:$J$165)*--(A68&gt;=Eingabe!$G$16:$G$165)*--(A68&lt;=Eingabe!$H$16:$H$165)*--(WEEKDAY(A68,2)&lt;=5)))</f>
        <v/>
      </c>
      <c r="G68" s="8">
        <f>IF(A68="","",SUM($F$2:F68))</f>
        <v/>
      </c>
      <c r="H68" s="8">
        <f>IF(A68="","",Eingabe!$B$7-G68)</f>
        <v/>
      </c>
      <c r="I68" s="8">
        <f>IF(A68="","",Eingabe!$B$8-SUMIFS($F$2:F68,$D$2:D68,D68))</f>
        <v/>
      </c>
      <c r="J68" s="8">
        <f>IF(A68="","",IF(E68="",1E+99,IFERROR(VLOOKUP(E68,Eingabe!$D$5:$E$44,2,FALSE),Eingabe!$B$9)))</f>
        <v/>
      </c>
      <c r="K68" s="8">
        <f>IF(A68="","",IF(E68="",1E+99,J68-SUMIFS($F$2:F68,$E$2:E68,E68)))</f>
        <v/>
      </c>
      <c r="L68" s="5">
        <f>IF(A68="","",IF(OR(H68&lt;0,I68&lt;0,K68&lt;0),"UNMOEGLICH","OK"))</f>
        <v/>
      </c>
    </row>
    <row r="69">
      <c r="A69" s="7">
        <f>IF(ROW()-1&lt;=Eingabe!$B$4-Eingabe!$B$3+1,Eingabe!$B$3+ROW()-2,"")</f>
        <v/>
      </c>
      <c r="B69" s="5">
        <f>IF(A69="","",TEXT(A69,"yyyy-mm-dd"))</f>
        <v/>
      </c>
      <c r="C69" s="5">
        <f>IF(A69="","",TEXT(A69,"ddd"))</f>
        <v/>
      </c>
      <c r="D69" s="5">
        <f>IF(A69="","",TEXT(A69,"yyyy-mm"))</f>
        <v/>
      </c>
      <c r="E69" s="5">
        <f>IF(A69="","",IF(A69&lt;Eingabe!$B$5,"",INT((A69-Eingabe!$B$5)/(Eingabe!$B$6*7))+1))</f>
        <v/>
      </c>
      <c r="F69" s="8">
        <f>IF(A69="","",SUMPRODUCT((Eingabe!$B$16:$B$165&lt;&gt;"")*(Eingabe!$J$16:$J$165)*--(A69&gt;=Eingabe!$G$16:$G$165)*--(A69&lt;=Eingabe!$H$16:$H$165)*--(WEEKDAY(A69,2)&lt;=5)))</f>
        <v/>
      </c>
      <c r="G69" s="8">
        <f>IF(A69="","",SUM($F$2:F69))</f>
        <v/>
      </c>
      <c r="H69" s="8">
        <f>IF(A69="","",Eingabe!$B$7-G69)</f>
        <v/>
      </c>
      <c r="I69" s="8">
        <f>IF(A69="","",Eingabe!$B$8-SUMIFS($F$2:F69,$D$2:D69,D69))</f>
        <v/>
      </c>
      <c r="J69" s="8">
        <f>IF(A69="","",IF(E69="",1E+99,IFERROR(VLOOKUP(E69,Eingabe!$D$5:$E$44,2,FALSE),Eingabe!$B$9)))</f>
        <v/>
      </c>
      <c r="K69" s="8">
        <f>IF(A69="","",IF(E69="",1E+99,J69-SUMIFS($F$2:F69,$E$2:E69,E69)))</f>
        <v/>
      </c>
      <c r="L69" s="5">
        <f>IF(A69="","",IF(OR(H69&lt;0,I69&lt;0,K69&lt;0),"UNMOEGLICH","OK"))</f>
        <v/>
      </c>
    </row>
    <row r="70">
      <c r="A70" s="7">
        <f>IF(ROW()-1&lt;=Eingabe!$B$4-Eingabe!$B$3+1,Eingabe!$B$3+ROW()-2,"")</f>
        <v/>
      </c>
      <c r="B70" s="5">
        <f>IF(A70="","",TEXT(A70,"yyyy-mm-dd"))</f>
        <v/>
      </c>
      <c r="C70" s="5">
        <f>IF(A70="","",TEXT(A70,"ddd"))</f>
        <v/>
      </c>
      <c r="D70" s="5">
        <f>IF(A70="","",TEXT(A70,"yyyy-mm"))</f>
        <v/>
      </c>
      <c r="E70" s="5">
        <f>IF(A70="","",IF(A70&lt;Eingabe!$B$5,"",INT((A70-Eingabe!$B$5)/(Eingabe!$B$6*7))+1))</f>
        <v/>
      </c>
      <c r="F70" s="8">
        <f>IF(A70="","",SUMPRODUCT((Eingabe!$B$16:$B$165&lt;&gt;"")*(Eingabe!$J$16:$J$165)*--(A70&gt;=Eingabe!$G$16:$G$165)*--(A70&lt;=Eingabe!$H$16:$H$165)*--(WEEKDAY(A70,2)&lt;=5)))</f>
        <v/>
      </c>
      <c r="G70" s="8">
        <f>IF(A70="","",SUM($F$2:F70))</f>
        <v/>
      </c>
      <c r="H70" s="8">
        <f>IF(A70="","",Eingabe!$B$7-G70)</f>
        <v/>
      </c>
      <c r="I70" s="8">
        <f>IF(A70="","",Eingabe!$B$8-SUMIFS($F$2:F70,$D$2:D70,D70))</f>
        <v/>
      </c>
      <c r="J70" s="8">
        <f>IF(A70="","",IF(E70="",1E+99,IFERROR(VLOOKUP(E70,Eingabe!$D$5:$E$44,2,FALSE),Eingabe!$B$9)))</f>
        <v/>
      </c>
      <c r="K70" s="8">
        <f>IF(A70="","",IF(E70="",1E+99,J70-SUMIFS($F$2:F70,$E$2:E70,E70)))</f>
        <v/>
      </c>
      <c r="L70" s="5">
        <f>IF(A70="","",IF(OR(H70&lt;0,I70&lt;0,K70&lt;0),"UNMOEGLICH","OK"))</f>
        <v/>
      </c>
    </row>
    <row r="71">
      <c r="A71" s="7">
        <f>IF(ROW()-1&lt;=Eingabe!$B$4-Eingabe!$B$3+1,Eingabe!$B$3+ROW()-2,"")</f>
        <v/>
      </c>
      <c r="B71" s="5">
        <f>IF(A71="","",TEXT(A71,"yyyy-mm-dd"))</f>
        <v/>
      </c>
      <c r="C71" s="5">
        <f>IF(A71="","",TEXT(A71,"ddd"))</f>
        <v/>
      </c>
      <c r="D71" s="5">
        <f>IF(A71="","",TEXT(A71,"yyyy-mm"))</f>
        <v/>
      </c>
      <c r="E71" s="5">
        <f>IF(A71="","",IF(A71&lt;Eingabe!$B$5,"",INT((A71-Eingabe!$B$5)/(Eingabe!$B$6*7))+1))</f>
        <v/>
      </c>
      <c r="F71" s="8">
        <f>IF(A71="","",SUMPRODUCT((Eingabe!$B$16:$B$165&lt;&gt;"")*(Eingabe!$J$16:$J$165)*--(A71&gt;=Eingabe!$G$16:$G$165)*--(A71&lt;=Eingabe!$H$16:$H$165)*--(WEEKDAY(A71,2)&lt;=5)))</f>
        <v/>
      </c>
      <c r="G71" s="8">
        <f>IF(A71="","",SUM($F$2:F71))</f>
        <v/>
      </c>
      <c r="H71" s="8">
        <f>IF(A71="","",Eingabe!$B$7-G71)</f>
        <v/>
      </c>
      <c r="I71" s="8">
        <f>IF(A71="","",Eingabe!$B$8-SUMIFS($F$2:F71,$D$2:D71,D71))</f>
        <v/>
      </c>
      <c r="J71" s="8">
        <f>IF(A71="","",IF(E71="",1E+99,IFERROR(VLOOKUP(E71,Eingabe!$D$5:$E$44,2,FALSE),Eingabe!$B$9)))</f>
        <v/>
      </c>
      <c r="K71" s="8">
        <f>IF(A71="","",IF(E71="",1E+99,J71-SUMIFS($F$2:F71,$E$2:E71,E71)))</f>
        <v/>
      </c>
      <c r="L71" s="5">
        <f>IF(A71="","",IF(OR(H71&lt;0,I71&lt;0,K71&lt;0),"UNMOEGLICH","OK"))</f>
        <v/>
      </c>
    </row>
    <row r="72">
      <c r="A72" s="7">
        <f>IF(ROW()-1&lt;=Eingabe!$B$4-Eingabe!$B$3+1,Eingabe!$B$3+ROW()-2,"")</f>
        <v/>
      </c>
      <c r="B72" s="5">
        <f>IF(A72="","",TEXT(A72,"yyyy-mm-dd"))</f>
        <v/>
      </c>
      <c r="C72" s="5">
        <f>IF(A72="","",TEXT(A72,"ddd"))</f>
        <v/>
      </c>
      <c r="D72" s="5">
        <f>IF(A72="","",TEXT(A72,"yyyy-mm"))</f>
        <v/>
      </c>
      <c r="E72" s="5">
        <f>IF(A72="","",IF(A72&lt;Eingabe!$B$5,"",INT((A72-Eingabe!$B$5)/(Eingabe!$B$6*7))+1))</f>
        <v/>
      </c>
      <c r="F72" s="8">
        <f>IF(A72="","",SUMPRODUCT((Eingabe!$B$16:$B$165&lt;&gt;"")*(Eingabe!$J$16:$J$165)*--(A72&gt;=Eingabe!$G$16:$G$165)*--(A72&lt;=Eingabe!$H$16:$H$165)*--(WEEKDAY(A72,2)&lt;=5)))</f>
        <v/>
      </c>
      <c r="G72" s="8">
        <f>IF(A72="","",SUM($F$2:F72))</f>
        <v/>
      </c>
      <c r="H72" s="8">
        <f>IF(A72="","",Eingabe!$B$7-G72)</f>
        <v/>
      </c>
      <c r="I72" s="8">
        <f>IF(A72="","",Eingabe!$B$8-SUMIFS($F$2:F72,$D$2:D72,D72))</f>
        <v/>
      </c>
      <c r="J72" s="8">
        <f>IF(A72="","",IF(E72="",1E+99,IFERROR(VLOOKUP(E72,Eingabe!$D$5:$E$44,2,FALSE),Eingabe!$B$9)))</f>
        <v/>
      </c>
      <c r="K72" s="8">
        <f>IF(A72="","",IF(E72="",1E+99,J72-SUMIFS($F$2:F72,$E$2:E72,E72)))</f>
        <v/>
      </c>
      <c r="L72" s="5">
        <f>IF(A72="","",IF(OR(H72&lt;0,I72&lt;0,K72&lt;0),"UNMOEGLICH","OK"))</f>
        <v/>
      </c>
    </row>
    <row r="73">
      <c r="A73" s="7">
        <f>IF(ROW()-1&lt;=Eingabe!$B$4-Eingabe!$B$3+1,Eingabe!$B$3+ROW()-2,"")</f>
        <v/>
      </c>
      <c r="B73" s="5">
        <f>IF(A73="","",TEXT(A73,"yyyy-mm-dd"))</f>
        <v/>
      </c>
      <c r="C73" s="5">
        <f>IF(A73="","",TEXT(A73,"ddd"))</f>
        <v/>
      </c>
      <c r="D73" s="5">
        <f>IF(A73="","",TEXT(A73,"yyyy-mm"))</f>
        <v/>
      </c>
      <c r="E73" s="5">
        <f>IF(A73="","",IF(A73&lt;Eingabe!$B$5,"",INT((A73-Eingabe!$B$5)/(Eingabe!$B$6*7))+1))</f>
        <v/>
      </c>
      <c r="F73" s="8">
        <f>IF(A73="","",SUMPRODUCT((Eingabe!$B$16:$B$165&lt;&gt;"")*(Eingabe!$J$16:$J$165)*--(A73&gt;=Eingabe!$G$16:$G$165)*--(A73&lt;=Eingabe!$H$16:$H$165)*--(WEEKDAY(A73,2)&lt;=5)))</f>
        <v/>
      </c>
      <c r="G73" s="8">
        <f>IF(A73="","",SUM($F$2:F73))</f>
        <v/>
      </c>
      <c r="H73" s="8">
        <f>IF(A73="","",Eingabe!$B$7-G73)</f>
        <v/>
      </c>
      <c r="I73" s="8">
        <f>IF(A73="","",Eingabe!$B$8-SUMIFS($F$2:F73,$D$2:D73,D73))</f>
        <v/>
      </c>
      <c r="J73" s="8">
        <f>IF(A73="","",IF(E73="",1E+99,IFERROR(VLOOKUP(E73,Eingabe!$D$5:$E$44,2,FALSE),Eingabe!$B$9)))</f>
        <v/>
      </c>
      <c r="K73" s="8">
        <f>IF(A73="","",IF(E73="",1E+99,J73-SUMIFS($F$2:F73,$E$2:E73,E73)))</f>
        <v/>
      </c>
      <c r="L73" s="5">
        <f>IF(A73="","",IF(OR(H73&lt;0,I73&lt;0,K73&lt;0),"UNMOEGLICH","OK"))</f>
        <v/>
      </c>
    </row>
    <row r="74">
      <c r="A74" s="7">
        <f>IF(ROW()-1&lt;=Eingabe!$B$4-Eingabe!$B$3+1,Eingabe!$B$3+ROW()-2,"")</f>
        <v/>
      </c>
      <c r="B74" s="5">
        <f>IF(A74="","",TEXT(A74,"yyyy-mm-dd"))</f>
        <v/>
      </c>
      <c r="C74" s="5">
        <f>IF(A74="","",TEXT(A74,"ddd"))</f>
        <v/>
      </c>
      <c r="D74" s="5">
        <f>IF(A74="","",TEXT(A74,"yyyy-mm"))</f>
        <v/>
      </c>
      <c r="E74" s="5">
        <f>IF(A74="","",IF(A74&lt;Eingabe!$B$5,"",INT((A74-Eingabe!$B$5)/(Eingabe!$B$6*7))+1))</f>
        <v/>
      </c>
      <c r="F74" s="8">
        <f>IF(A74="","",SUMPRODUCT((Eingabe!$B$16:$B$165&lt;&gt;"")*(Eingabe!$J$16:$J$165)*--(A74&gt;=Eingabe!$G$16:$G$165)*--(A74&lt;=Eingabe!$H$16:$H$165)*--(WEEKDAY(A74,2)&lt;=5)))</f>
        <v/>
      </c>
      <c r="G74" s="8">
        <f>IF(A74="","",SUM($F$2:F74))</f>
        <v/>
      </c>
      <c r="H74" s="8">
        <f>IF(A74="","",Eingabe!$B$7-G74)</f>
        <v/>
      </c>
      <c r="I74" s="8">
        <f>IF(A74="","",Eingabe!$B$8-SUMIFS($F$2:F74,$D$2:D74,D74))</f>
        <v/>
      </c>
      <c r="J74" s="8">
        <f>IF(A74="","",IF(E74="",1E+99,IFERROR(VLOOKUP(E74,Eingabe!$D$5:$E$44,2,FALSE),Eingabe!$B$9)))</f>
        <v/>
      </c>
      <c r="K74" s="8">
        <f>IF(A74="","",IF(E74="",1E+99,J74-SUMIFS($F$2:F74,$E$2:E74,E74)))</f>
        <v/>
      </c>
      <c r="L74" s="5">
        <f>IF(A74="","",IF(OR(H74&lt;0,I74&lt;0,K74&lt;0),"UNMOEGLICH","OK"))</f>
        <v/>
      </c>
    </row>
    <row r="75">
      <c r="A75" s="7">
        <f>IF(ROW()-1&lt;=Eingabe!$B$4-Eingabe!$B$3+1,Eingabe!$B$3+ROW()-2,"")</f>
        <v/>
      </c>
      <c r="B75" s="5">
        <f>IF(A75="","",TEXT(A75,"yyyy-mm-dd"))</f>
        <v/>
      </c>
      <c r="C75" s="5">
        <f>IF(A75="","",TEXT(A75,"ddd"))</f>
        <v/>
      </c>
      <c r="D75" s="5">
        <f>IF(A75="","",TEXT(A75,"yyyy-mm"))</f>
        <v/>
      </c>
      <c r="E75" s="5">
        <f>IF(A75="","",IF(A75&lt;Eingabe!$B$5,"",INT((A75-Eingabe!$B$5)/(Eingabe!$B$6*7))+1))</f>
        <v/>
      </c>
      <c r="F75" s="8">
        <f>IF(A75="","",SUMPRODUCT((Eingabe!$B$16:$B$165&lt;&gt;"")*(Eingabe!$J$16:$J$165)*--(A75&gt;=Eingabe!$G$16:$G$165)*--(A75&lt;=Eingabe!$H$16:$H$165)*--(WEEKDAY(A75,2)&lt;=5)))</f>
        <v/>
      </c>
      <c r="G75" s="8">
        <f>IF(A75="","",SUM($F$2:F75))</f>
        <v/>
      </c>
      <c r="H75" s="8">
        <f>IF(A75="","",Eingabe!$B$7-G75)</f>
        <v/>
      </c>
      <c r="I75" s="8">
        <f>IF(A75="","",Eingabe!$B$8-SUMIFS($F$2:F75,$D$2:D75,D75))</f>
        <v/>
      </c>
      <c r="J75" s="8">
        <f>IF(A75="","",IF(E75="",1E+99,IFERROR(VLOOKUP(E75,Eingabe!$D$5:$E$44,2,FALSE),Eingabe!$B$9)))</f>
        <v/>
      </c>
      <c r="K75" s="8">
        <f>IF(A75="","",IF(E75="",1E+99,J75-SUMIFS($F$2:F75,$E$2:E75,E75)))</f>
        <v/>
      </c>
      <c r="L75" s="5">
        <f>IF(A75="","",IF(OR(H75&lt;0,I75&lt;0,K75&lt;0),"UNMOEGLICH","OK"))</f>
        <v/>
      </c>
    </row>
    <row r="76">
      <c r="A76" s="7">
        <f>IF(ROW()-1&lt;=Eingabe!$B$4-Eingabe!$B$3+1,Eingabe!$B$3+ROW()-2,"")</f>
        <v/>
      </c>
      <c r="B76" s="5">
        <f>IF(A76="","",TEXT(A76,"yyyy-mm-dd"))</f>
        <v/>
      </c>
      <c r="C76" s="5">
        <f>IF(A76="","",TEXT(A76,"ddd"))</f>
        <v/>
      </c>
      <c r="D76" s="5">
        <f>IF(A76="","",TEXT(A76,"yyyy-mm"))</f>
        <v/>
      </c>
      <c r="E76" s="5">
        <f>IF(A76="","",IF(A76&lt;Eingabe!$B$5,"",INT((A76-Eingabe!$B$5)/(Eingabe!$B$6*7))+1))</f>
        <v/>
      </c>
      <c r="F76" s="8">
        <f>IF(A76="","",SUMPRODUCT((Eingabe!$B$16:$B$165&lt;&gt;"")*(Eingabe!$J$16:$J$165)*--(A76&gt;=Eingabe!$G$16:$G$165)*--(A76&lt;=Eingabe!$H$16:$H$165)*--(WEEKDAY(A76,2)&lt;=5)))</f>
        <v/>
      </c>
      <c r="G76" s="8">
        <f>IF(A76="","",SUM($F$2:F76))</f>
        <v/>
      </c>
      <c r="H76" s="8">
        <f>IF(A76="","",Eingabe!$B$7-G76)</f>
        <v/>
      </c>
      <c r="I76" s="8">
        <f>IF(A76="","",Eingabe!$B$8-SUMIFS($F$2:F76,$D$2:D76,D76))</f>
        <v/>
      </c>
      <c r="J76" s="8">
        <f>IF(A76="","",IF(E76="",1E+99,IFERROR(VLOOKUP(E76,Eingabe!$D$5:$E$44,2,FALSE),Eingabe!$B$9)))</f>
        <v/>
      </c>
      <c r="K76" s="8">
        <f>IF(A76="","",IF(E76="",1E+99,J76-SUMIFS($F$2:F76,$E$2:E76,E76)))</f>
        <v/>
      </c>
      <c r="L76" s="5">
        <f>IF(A76="","",IF(OR(H76&lt;0,I76&lt;0,K76&lt;0),"UNMOEGLICH","OK"))</f>
        <v/>
      </c>
    </row>
    <row r="77">
      <c r="A77" s="7">
        <f>IF(ROW()-1&lt;=Eingabe!$B$4-Eingabe!$B$3+1,Eingabe!$B$3+ROW()-2,"")</f>
        <v/>
      </c>
      <c r="B77" s="5">
        <f>IF(A77="","",TEXT(A77,"yyyy-mm-dd"))</f>
        <v/>
      </c>
      <c r="C77" s="5">
        <f>IF(A77="","",TEXT(A77,"ddd"))</f>
        <v/>
      </c>
      <c r="D77" s="5">
        <f>IF(A77="","",TEXT(A77,"yyyy-mm"))</f>
        <v/>
      </c>
      <c r="E77" s="5">
        <f>IF(A77="","",IF(A77&lt;Eingabe!$B$5,"",INT((A77-Eingabe!$B$5)/(Eingabe!$B$6*7))+1))</f>
        <v/>
      </c>
      <c r="F77" s="8">
        <f>IF(A77="","",SUMPRODUCT((Eingabe!$B$16:$B$165&lt;&gt;"")*(Eingabe!$J$16:$J$165)*--(A77&gt;=Eingabe!$G$16:$G$165)*--(A77&lt;=Eingabe!$H$16:$H$165)*--(WEEKDAY(A77,2)&lt;=5)))</f>
        <v/>
      </c>
      <c r="G77" s="8">
        <f>IF(A77="","",SUM($F$2:F77))</f>
        <v/>
      </c>
      <c r="H77" s="8">
        <f>IF(A77="","",Eingabe!$B$7-G77)</f>
        <v/>
      </c>
      <c r="I77" s="8">
        <f>IF(A77="","",Eingabe!$B$8-SUMIFS($F$2:F77,$D$2:D77,D77))</f>
        <v/>
      </c>
      <c r="J77" s="8">
        <f>IF(A77="","",IF(E77="",1E+99,IFERROR(VLOOKUP(E77,Eingabe!$D$5:$E$44,2,FALSE),Eingabe!$B$9)))</f>
        <v/>
      </c>
      <c r="K77" s="8">
        <f>IF(A77="","",IF(E77="",1E+99,J77-SUMIFS($F$2:F77,$E$2:E77,E77)))</f>
        <v/>
      </c>
      <c r="L77" s="5">
        <f>IF(A77="","",IF(OR(H77&lt;0,I77&lt;0,K77&lt;0),"UNMOEGLICH","OK"))</f>
        <v/>
      </c>
    </row>
    <row r="78">
      <c r="A78" s="7">
        <f>IF(ROW()-1&lt;=Eingabe!$B$4-Eingabe!$B$3+1,Eingabe!$B$3+ROW()-2,"")</f>
        <v/>
      </c>
      <c r="B78" s="5">
        <f>IF(A78="","",TEXT(A78,"yyyy-mm-dd"))</f>
        <v/>
      </c>
      <c r="C78" s="5">
        <f>IF(A78="","",TEXT(A78,"ddd"))</f>
        <v/>
      </c>
      <c r="D78" s="5">
        <f>IF(A78="","",TEXT(A78,"yyyy-mm"))</f>
        <v/>
      </c>
      <c r="E78" s="5">
        <f>IF(A78="","",IF(A78&lt;Eingabe!$B$5,"",INT((A78-Eingabe!$B$5)/(Eingabe!$B$6*7))+1))</f>
        <v/>
      </c>
      <c r="F78" s="8">
        <f>IF(A78="","",SUMPRODUCT((Eingabe!$B$16:$B$165&lt;&gt;"")*(Eingabe!$J$16:$J$165)*--(A78&gt;=Eingabe!$G$16:$G$165)*--(A78&lt;=Eingabe!$H$16:$H$165)*--(WEEKDAY(A78,2)&lt;=5)))</f>
        <v/>
      </c>
      <c r="G78" s="8">
        <f>IF(A78="","",SUM($F$2:F78))</f>
        <v/>
      </c>
      <c r="H78" s="8">
        <f>IF(A78="","",Eingabe!$B$7-G78)</f>
        <v/>
      </c>
      <c r="I78" s="8">
        <f>IF(A78="","",Eingabe!$B$8-SUMIFS($F$2:F78,$D$2:D78,D78))</f>
        <v/>
      </c>
      <c r="J78" s="8">
        <f>IF(A78="","",IF(E78="",1E+99,IFERROR(VLOOKUP(E78,Eingabe!$D$5:$E$44,2,FALSE),Eingabe!$B$9)))</f>
        <v/>
      </c>
      <c r="K78" s="8">
        <f>IF(A78="","",IF(E78="",1E+99,J78-SUMIFS($F$2:F78,$E$2:E78,E78)))</f>
        <v/>
      </c>
      <c r="L78" s="5">
        <f>IF(A78="","",IF(OR(H78&lt;0,I78&lt;0,K78&lt;0),"UNMOEGLICH","OK"))</f>
        <v/>
      </c>
    </row>
    <row r="79">
      <c r="A79" s="7">
        <f>IF(ROW()-1&lt;=Eingabe!$B$4-Eingabe!$B$3+1,Eingabe!$B$3+ROW()-2,"")</f>
        <v/>
      </c>
      <c r="B79" s="5">
        <f>IF(A79="","",TEXT(A79,"yyyy-mm-dd"))</f>
        <v/>
      </c>
      <c r="C79" s="5">
        <f>IF(A79="","",TEXT(A79,"ddd"))</f>
        <v/>
      </c>
      <c r="D79" s="5">
        <f>IF(A79="","",TEXT(A79,"yyyy-mm"))</f>
        <v/>
      </c>
      <c r="E79" s="5">
        <f>IF(A79="","",IF(A79&lt;Eingabe!$B$5,"",INT((A79-Eingabe!$B$5)/(Eingabe!$B$6*7))+1))</f>
        <v/>
      </c>
      <c r="F79" s="8">
        <f>IF(A79="","",SUMPRODUCT((Eingabe!$B$16:$B$165&lt;&gt;"")*(Eingabe!$J$16:$J$165)*--(A79&gt;=Eingabe!$G$16:$G$165)*--(A79&lt;=Eingabe!$H$16:$H$165)*--(WEEKDAY(A79,2)&lt;=5)))</f>
        <v/>
      </c>
      <c r="G79" s="8">
        <f>IF(A79="","",SUM($F$2:F79))</f>
        <v/>
      </c>
      <c r="H79" s="8">
        <f>IF(A79="","",Eingabe!$B$7-G79)</f>
        <v/>
      </c>
      <c r="I79" s="8">
        <f>IF(A79="","",Eingabe!$B$8-SUMIFS($F$2:F79,$D$2:D79,D79))</f>
        <v/>
      </c>
      <c r="J79" s="8">
        <f>IF(A79="","",IF(E79="",1E+99,IFERROR(VLOOKUP(E79,Eingabe!$D$5:$E$44,2,FALSE),Eingabe!$B$9)))</f>
        <v/>
      </c>
      <c r="K79" s="8">
        <f>IF(A79="","",IF(E79="",1E+99,J79-SUMIFS($F$2:F79,$E$2:E79,E79)))</f>
        <v/>
      </c>
      <c r="L79" s="5">
        <f>IF(A79="","",IF(OR(H79&lt;0,I79&lt;0,K79&lt;0),"UNMOEGLICH","OK"))</f>
        <v/>
      </c>
    </row>
    <row r="80">
      <c r="A80" s="7">
        <f>IF(ROW()-1&lt;=Eingabe!$B$4-Eingabe!$B$3+1,Eingabe!$B$3+ROW()-2,"")</f>
        <v/>
      </c>
      <c r="B80" s="5">
        <f>IF(A80="","",TEXT(A80,"yyyy-mm-dd"))</f>
        <v/>
      </c>
      <c r="C80" s="5">
        <f>IF(A80="","",TEXT(A80,"ddd"))</f>
        <v/>
      </c>
      <c r="D80" s="5">
        <f>IF(A80="","",TEXT(A80,"yyyy-mm"))</f>
        <v/>
      </c>
      <c r="E80" s="5">
        <f>IF(A80="","",IF(A80&lt;Eingabe!$B$5,"",INT((A80-Eingabe!$B$5)/(Eingabe!$B$6*7))+1))</f>
        <v/>
      </c>
      <c r="F80" s="8">
        <f>IF(A80="","",SUMPRODUCT((Eingabe!$B$16:$B$165&lt;&gt;"")*(Eingabe!$J$16:$J$165)*--(A80&gt;=Eingabe!$G$16:$G$165)*--(A80&lt;=Eingabe!$H$16:$H$165)*--(WEEKDAY(A80,2)&lt;=5)))</f>
        <v/>
      </c>
      <c r="G80" s="8">
        <f>IF(A80="","",SUM($F$2:F80))</f>
        <v/>
      </c>
      <c r="H80" s="8">
        <f>IF(A80="","",Eingabe!$B$7-G80)</f>
        <v/>
      </c>
      <c r="I80" s="8">
        <f>IF(A80="","",Eingabe!$B$8-SUMIFS($F$2:F80,$D$2:D80,D80))</f>
        <v/>
      </c>
      <c r="J80" s="8">
        <f>IF(A80="","",IF(E80="",1E+99,IFERROR(VLOOKUP(E80,Eingabe!$D$5:$E$44,2,FALSE),Eingabe!$B$9)))</f>
        <v/>
      </c>
      <c r="K80" s="8">
        <f>IF(A80="","",IF(E80="",1E+99,J80-SUMIFS($F$2:F80,$E$2:E80,E80)))</f>
        <v/>
      </c>
      <c r="L80" s="5">
        <f>IF(A80="","",IF(OR(H80&lt;0,I80&lt;0,K80&lt;0),"UNMOEGLICH","OK"))</f>
        <v/>
      </c>
    </row>
    <row r="81">
      <c r="A81" s="7">
        <f>IF(ROW()-1&lt;=Eingabe!$B$4-Eingabe!$B$3+1,Eingabe!$B$3+ROW()-2,"")</f>
        <v/>
      </c>
      <c r="B81" s="5">
        <f>IF(A81="","",TEXT(A81,"yyyy-mm-dd"))</f>
        <v/>
      </c>
      <c r="C81" s="5">
        <f>IF(A81="","",TEXT(A81,"ddd"))</f>
        <v/>
      </c>
      <c r="D81" s="5">
        <f>IF(A81="","",TEXT(A81,"yyyy-mm"))</f>
        <v/>
      </c>
      <c r="E81" s="5">
        <f>IF(A81="","",IF(A81&lt;Eingabe!$B$5,"",INT((A81-Eingabe!$B$5)/(Eingabe!$B$6*7))+1))</f>
        <v/>
      </c>
      <c r="F81" s="8">
        <f>IF(A81="","",SUMPRODUCT((Eingabe!$B$16:$B$165&lt;&gt;"")*(Eingabe!$J$16:$J$165)*--(A81&gt;=Eingabe!$G$16:$G$165)*--(A81&lt;=Eingabe!$H$16:$H$165)*--(WEEKDAY(A81,2)&lt;=5)))</f>
        <v/>
      </c>
      <c r="G81" s="8">
        <f>IF(A81="","",SUM($F$2:F81))</f>
        <v/>
      </c>
      <c r="H81" s="8">
        <f>IF(A81="","",Eingabe!$B$7-G81)</f>
        <v/>
      </c>
      <c r="I81" s="8">
        <f>IF(A81="","",Eingabe!$B$8-SUMIFS($F$2:F81,$D$2:D81,D81))</f>
        <v/>
      </c>
      <c r="J81" s="8">
        <f>IF(A81="","",IF(E81="",1E+99,IFERROR(VLOOKUP(E81,Eingabe!$D$5:$E$44,2,FALSE),Eingabe!$B$9)))</f>
        <v/>
      </c>
      <c r="K81" s="8">
        <f>IF(A81="","",IF(E81="",1E+99,J81-SUMIFS($F$2:F81,$E$2:E81,E81)))</f>
        <v/>
      </c>
      <c r="L81" s="5">
        <f>IF(A81="","",IF(OR(H81&lt;0,I81&lt;0,K81&lt;0),"UNMOEGLICH","OK"))</f>
        <v/>
      </c>
    </row>
    <row r="82">
      <c r="A82" s="7">
        <f>IF(ROW()-1&lt;=Eingabe!$B$4-Eingabe!$B$3+1,Eingabe!$B$3+ROW()-2,"")</f>
        <v/>
      </c>
      <c r="B82" s="5">
        <f>IF(A82="","",TEXT(A82,"yyyy-mm-dd"))</f>
        <v/>
      </c>
      <c r="C82" s="5">
        <f>IF(A82="","",TEXT(A82,"ddd"))</f>
        <v/>
      </c>
      <c r="D82" s="5">
        <f>IF(A82="","",TEXT(A82,"yyyy-mm"))</f>
        <v/>
      </c>
      <c r="E82" s="5">
        <f>IF(A82="","",IF(A82&lt;Eingabe!$B$5,"",INT((A82-Eingabe!$B$5)/(Eingabe!$B$6*7))+1))</f>
        <v/>
      </c>
      <c r="F82" s="8">
        <f>IF(A82="","",SUMPRODUCT((Eingabe!$B$16:$B$165&lt;&gt;"")*(Eingabe!$J$16:$J$165)*--(A82&gt;=Eingabe!$G$16:$G$165)*--(A82&lt;=Eingabe!$H$16:$H$165)*--(WEEKDAY(A82,2)&lt;=5)))</f>
        <v/>
      </c>
      <c r="G82" s="8">
        <f>IF(A82="","",SUM($F$2:F82))</f>
        <v/>
      </c>
      <c r="H82" s="8">
        <f>IF(A82="","",Eingabe!$B$7-G82)</f>
        <v/>
      </c>
      <c r="I82" s="8">
        <f>IF(A82="","",Eingabe!$B$8-SUMIFS($F$2:F82,$D$2:D82,D82))</f>
        <v/>
      </c>
      <c r="J82" s="8">
        <f>IF(A82="","",IF(E82="",1E+99,IFERROR(VLOOKUP(E82,Eingabe!$D$5:$E$44,2,FALSE),Eingabe!$B$9)))</f>
        <v/>
      </c>
      <c r="K82" s="8">
        <f>IF(A82="","",IF(E82="",1E+99,J82-SUMIFS($F$2:F82,$E$2:E82,E82)))</f>
        <v/>
      </c>
      <c r="L82" s="5">
        <f>IF(A82="","",IF(OR(H82&lt;0,I82&lt;0,K82&lt;0),"UNMOEGLICH","OK"))</f>
        <v/>
      </c>
    </row>
    <row r="83">
      <c r="A83" s="7">
        <f>IF(ROW()-1&lt;=Eingabe!$B$4-Eingabe!$B$3+1,Eingabe!$B$3+ROW()-2,"")</f>
        <v/>
      </c>
      <c r="B83" s="5">
        <f>IF(A83="","",TEXT(A83,"yyyy-mm-dd"))</f>
        <v/>
      </c>
      <c r="C83" s="5">
        <f>IF(A83="","",TEXT(A83,"ddd"))</f>
        <v/>
      </c>
      <c r="D83" s="5">
        <f>IF(A83="","",TEXT(A83,"yyyy-mm"))</f>
        <v/>
      </c>
      <c r="E83" s="5">
        <f>IF(A83="","",IF(A83&lt;Eingabe!$B$5,"",INT((A83-Eingabe!$B$5)/(Eingabe!$B$6*7))+1))</f>
        <v/>
      </c>
      <c r="F83" s="8">
        <f>IF(A83="","",SUMPRODUCT((Eingabe!$B$16:$B$165&lt;&gt;"")*(Eingabe!$J$16:$J$165)*--(A83&gt;=Eingabe!$G$16:$G$165)*--(A83&lt;=Eingabe!$H$16:$H$165)*--(WEEKDAY(A83,2)&lt;=5)))</f>
        <v/>
      </c>
      <c r="G83" s="8">
        <f>IF(A83="","",SUM($F$2:F83))</f>
        <v/>
      </c>
      <c r="H83" s="8">
        <f>IF(A83="","",Eingabe!$B$7-G83)</f>
        <v/>
      </c>
      <c r="I83" s="8">
        <f>IF(A83="","",Eingabe!$B$8-SUMIFS($F$2:F83,$D$2:D83,D83))</f>
        <v/>
      </c>
      <c r="J83" s="8">
        <f>IF(A83="","",IF(E83="",1E+99,IFERROR(VLOOKUP(E83,Eingabe!$D$5:$E$44,2,FALSE),Eingabe!$B$9)))</f>
        <v/>
      </c>
      <c r="K83" s="8">
        <f>IF(A83="","",IF(E83="",1E+99,J83-SUMIFS($F$2:F83,$E$2:E83,E83)))</f>
        <v/>
      </c>
      <c r="L83" s="5">
        <f>IF(A83="","",IF(OR(H83&lt;0,I83&lt;0,K83&lt;0),"UNMOEGLICH","OK"))</f>
        <v/>
      </c>
    </row>
    <row r="84">
      <c r="A84" s="7">
        <f>IF(ROW()-1&lt;=Eingabe!$B$4-Eingabe!$B$3+1,Eingabe!$B$3+ROW()-2,"")</f>
        <v/>
      </c>
      <c r="B84" s="5">
        <f>IF(A84="","",TEXT(A84,"yyyy-mm-dd"))</f>
        <v/>
      </c>
      <c r="C84" s="5">
        <f>IF(A84="","",TEXT(A84,"ddd"))</f>
        <v/>
      </c>
      <c r="D84" s="5">
        <f>IF(A84="","",TEXT(A84,"yyyy-mm"))</f>
        <v/>
      </c>
      <c r="E84" s="5">
        <f>IF(A84="","",IF(A84&lt;Eingabe!$B$5,"",INT((A84-Eingabe!$B$5)/(Eingabe!$B$6*7))+1))</f>
        <v/>
      </c>
      <c r="F84" s="8">
        <f>IF(A84="","",SUMPRODUCT((Eingabe!$B$16:$B$165&lt;&gt;"")*(Eingabe!$J$16:$J$165)*--(A84&gt;=Eingabe!$G$16:$G$165)*--(A84&lt;=Eingabe!$H$16:$H$165)*--(WEEKDAY(A84,2)&lt;=5)))</f>
        <v/>
      </c>
      <c r="G84" s="8">
        <f>IF(A84="","",SUM($F$2:F84))</f>
        <v/>
      </c>
      <c r="H84" s="8">
        <f>IF(A84="","",Eingabe!$B$7-G84)</f>
        <v/>
      </c>
      <c r="I84" s="8">
        <f>IF(A84="","",Eingabe!$B$8-SUMIFS($F$2:F84,$D$2:D84,D84))</f>
        <v/>
      </c>
      <c r="J84" s="8">
        <f>IF(A84="","",IF(E84="",1E+99,IFERROR(VLOOKUP(E84,Eingabe!$D$5:$E$44,2,FALSE),Eingabe!$B$9)))</f>
        <v/>
      </c>
      <c r="K84" s="8">
        <f>IF(A84="","",IF(E84="",1E+99,J84-SUMIFS($F$2:F84,$E$2:E84,E84)))</f>
        <v/>
      </c>
      <c r="L84" s="5">
        <f>IF(A84="","",IF(OR(H84&lt;0,I84&lt;0,K84&lt;0),"UNMOEGLICH","OK"))</f>
        <v/>
      </c>
    </row>
    <row r="85">
      <c r="A85" s="7">
        <f>IF(ROW()-1&lt;=Eingabe!$B$4-Eingabe!$B$3+1,Eingabe!$B$3+ROW()-2,"")</f>
        <v/>
      </c>
      <c r="B85" s="5">
        <f>IF(A85="","",TEXT(A85,"yyyy-mm-dd"))</f>
        <v/>
      </c>
      <c r="C85" s="5">
        <f>IF(A85="","",TEXT(A85,"ddd"))</f>
        <v/>
      </c>
      <c r="D85" s="5">
        <f>IF(A85="","",TEXT(A85,"yyyy-mm"))</f>
        <v/>
      </c>
      <c r="E85" s="5">
        <f>IF(A85="","",IF(A85&lt;Eingabe!$B$5,"",INT((A85-Eingabe!$B$5)/(Eingabe!$B$6*7))+1))</f>
        <v/>
      </c>
      <c r="F85" s="8">
        <f>IF(A85="","",SUMPRODUCT((Eingabe!$B$16:$B$165&lt;&gt;"")*(Eingabe!$J$16:$J$165)*--(A85&gt;=Eingabe!$G$16:$G$165)*--(A85&lt;=Eingabe!$H$16:$H$165)*--(WEEKDAY(A85,2)&lt;=5)))</f>
        <v/>
      </c>
      <c r="G85" s="8">
        <f>IF(A85="","",SUM($F$2:F85))</f>
        <v/>
      </c>
      <c r="H85" s="8">
        <f>IF(A85="","",Eingabe!$B$7-G85)</f>
        <v/>
      </c>
      <c r="I85" s="8">
        <f>IF(A85="","",Eingabe!$B$8-SUMIFS($F$2:F85,$D$2:D85,D85))</f>
        <v/>
      </c>
      <c r="J85" s="8">
        <f>IF(A85="","",IF(E85="",1E+99,IFERROR(VLOOKUP(E85,Eingabe!$D$5:$E$44,2,FALSE),Eingabe!$B$9)))</f>
        <v/>
      </c>
      <c r="K85" s="8">
        <f>IF(A85="","",IF(E85="",1E+99,J85-SUMIFS($F$2:F85,$E$2:E85,E85)))</f>
        <v/>
      </c>
      <c r="L85" s="5">
        <f>IF(A85="","",IF(OR(H85&lt;0,I85&lt;0,K85&lt;0),"UNMOEGLICH","OK"))</f>
        <v/>
      </c>
    </row>
    <row r="86">
      <c r="A86" s="7">
        <f>IF(ROW()-1&lt;=Eingabe!$B$4-Eingabe!$B$3+1,Eingabe!$B$3+ROW()-2,"")</f>
        <v/>
      </c>
      <c r="B86" s="5">
        <f>IF(A86="","",TEXT(A86,"yyyy-mm-dd"))</f>
        <v/>
      </c>
      <c r="C86" s="5">
        <f>IF(A86="","",TEXT(A86,"ddd"))</f>
        <v/>
      </c>
      <c r="D86" s="5">
        <f>IF(A86="","",TEXT(A86,"yyyy-mm"))</f>
        <v/>
      </c>
      <c r="E86" s="5">
        <f>IF(A86="","",IF(A86&lt;Eingabe!$B$5,"",INT((A86-Eingabe!$B$5)/(Eingabe!$B$6*7))+1))</f>
        <v/>
      </c>
      <c r="F86" s="8">
        <f>IF(A86="","",SUMPRODUCT((Eingabe!$B$16:$B$165&lt;&gt;"")*(Eingabe!$J$16:$J$165)*--(A86&gt;=Eingabe!$G$16:$G$165)*--(A86&lt;=Eingabe!$H$16:$H$165)*--(WEEKDAY(A86,2)&lt;=5)))</f>
        <v/>
      </c>
      <c r="G86" s="8">
        <f>IF(A86="","",SUM($F$2:F86))</f>
        <v/>
      </c>
      <c r="H86" s="8">
        <f>IF(A86="","",Eingabe!$B$7-G86)</f>
        <v/>
      </c>
      <c r="I86" s="8">
        <f>IF(A86="","",Eingabe!$B$8-SUMIFS($F$2:F86,$D$2:D86,D86))</f>
        <v/>
      </c>
      <c r="J86" s="8">
        <f>IF(A86="","",IF(E86="",1E+99,IFERROR(VLOOKUP(E86,Eingabe!$D$5:$E$44,2,FALSE),Eingabe!$B$9)))</f>
        <v/>
      </c>
      <c r="K86" s="8">
        <f>IF(A86="","",IF(E86="",1E+99,J86-SUMIFS($F$2:F86,$E$2:E86,E86)))</f>
        <v/>
      </c>
      <c r="L86" s="5">
        <f>IF(A86="","",IF(OR(H86&lt;0,I86&lt;0,K86&lt;0),"UNMOEGLICH","OK"))</f>
        <v/>
      </c>
    </row>
    <row r="87">
      <c r="A87" s="7">
        <f>IF(ROW()-1&lt;=Eingabe!$B$4-Eingabe!$B$3+1,Eingabe!$B$3+ROW()-2,"")</f>
        <v/>
      </c>
      <c r="B87" s="5">
        <f>IF(A87="","",TEXT(A87,"yyyy-mm-dd"))</f>
        <v/>
      </c>
      <c r="C87" s="5">
        <f>IF(A87="","",TEXT(A87,"ddd"))</f>
        <v/>
      </c>
      <c r="D87" s="5">
        <f>IF(A87="","",TEXT(A87,"yyyy-mm"))</f>
        <v/>
      </c>
      <c r="E87" s="5">
        <f>IF(A87="","",IF(A87&lt;Eingabe!$B$5,"",INT((A87-Eingabe!$B$5)/(Eingabe!$B$6*7))+1))</f>
        <v/>
      </c>
      <c r="F87" s="8">
        <f>IF(A87="","",SUMPRODUCT((Eingabe!$B$16:$B$165&lt;&gt;"")*(Eingabe!$J$16:$J$165)*--(A87&gt;=Eingabe!$G$16:$G$165)*--(A87&lt;=Eingabe!$H$16:$H$165)*--(WEEKDAY(A87,2)&lt;=5)))</f>
        <v/>
      </c>
      <c r="G87" s="8">
        <f>IF(A87="","",SUM($F$2:F87))</f>
        <v/>
      </c>
      <c r="H87" s="8">
        <f>IF(A87="","",Eingabe!$B$7-G87)</f>
        <v/>
      </c>
      <c r="I87" s="8">
        <f>IF(A87="","",Eingabe!$B$8-SUMIFS($F$2:F87,$D$2:D87,D87))</f>
        <v/>
      </c>
      <c r="J87" s="8">
        <f>IF(A87="","",IF(E87="",1E+99,IFERROR(VLOOKUP(E87,Eingabe!$D$5:$E$44,2,FALSE),Eingabe!$B$9)))</f>
        <v/>
      </c>
      <c r="K87" s="8">
        <f>IF(A87="","",IF(E87="",1E+99,J87-SUMIFS($F$2:F87,$E$2:E87,E87)))</f>
        <v/>
      </c>
      <c r="L87" s="5">
        <f>IF(A87="","",IF(OR(H87&lt;0,I87&lt;0,K87&lt;0),"UNMOEGLICH","OK"))</f>
        <v/>
      </c>
    </row>
    <row r="88">
      <c r="A88" s="7">
        <f>IF(ROW()-1&lt;=Eingabe!$B$4-Eingabe!$B$3+1,Eingabe!$B$3+ROW()-2,"")</f>
        <v/>
      </c>
      <c r="B88" s="5">
        <f>IF(A88="","",TEXT(A88,"yyyy-mm-dd"))</f>
        <v/>
      </c>
      <c r="C88" s="5">
        <f>IF(A88="","",TEXT(A88,"ddd"))</f>
        <v/>
      </c>
      <c r="D88" s="5">
        <f>IF(A88="","",TEXT(A88,"yyyy-mm"))</f>
        <v/>
      </c>
      <c r="E88" s="5">
        <f>IF(A88="","",IF(A88&lt;Eingabe!$B$5,"",INT((A88-Eingabe!$B$5)/(Eingabe!$B$6*7))+1))</f>
        <v/>
      </c>
      <c r="F88" s="8">
        <f>IF(A88="","",SUMPRODUCT((Eingabe!$B$16:$B$165&lt;&gt;"")*(Eingabe!$J$16:$J$165)*--(A88&gt;=Eingabe!$G$16:$G$165)*--(A88&lt;=Eingabe!$H$16:$H$165)*--(WEEKDAY(A88,2)&lt;=5)))</f>
        <v/>
      </c>
      <c r="G88" s="8">
        <f>IF(A88="","",SUM($F$2:F88))</f>
        <v/>
      </c>
      <c r="H88" s="8">
        <f>IF(A88="","",Eingabe!$B$7-G88)</f>
        <v/>
      </c>
      <c r="I88" s="8">
        <f>IF(A88="","",Eingabe!$B$8-SUMIFS($F$2:F88,$D$2:D88,D88))</f>
        <v/>
      </c>
      <c r="J88" s="8">
        <f>IF(A88="","",IF(E88="",1E+99,IFERROR(VLOOKUP(E88,Eingabe!$D$5:$E$44,2,FALSE),Eingabe!$B$9)))</f>
        <v/>
      </c>
      <c r="K88" s="8">
        <f>IF(A88="","",IF(E88="",1E+99,J88-SUMIFS($F$2:F88,$E$2:E88,E88)))</f>
        <v/>
      </c>
      <c r="L88" s="5">
        <f>IF(A88="","",IF(OR(H88&lt;0,I88&lt;0,K88&lt;0),"UNMOEGLICH","OK"))</f>
        <v/>
      </c>
    </row>
    <row r="89">
      <c r="A89" s="7">
        <f>IF(ROW()-1&lt;=Eingabe!$B$4-Eingabe!$B$3+1,Eingabe!$B$3+ROW()-2,"")</f>
        <v/>
      </c>
      <c r="B89" s="5">
        <f>IF(A89="","",TEXT(A89,"yyyy-mm-dd"))</f>
        <v/>
      </c>
      <c r="C89" s="5">
        <f>IF(A89="","",TEXT(A89,"ddd"))</f>
        <v/>
      </c>
      <c r="D89" s="5">
        <f>IF(A89="","",TEXT(A89,"yyyy-mm"))</f>
        <v/>
      </c>
      <c r="E89" s="5">
        <f>IF(A89="","",IF(A89&lt;Eingabe!$B$5,"",INT((A89-Eingabe!$B$5)/(Eingabe!$B$6*7))+1))</f>
        <v/>
      </c>
      <c r="F89" s="8">
        <f>IF(A89="","",SUMPRODUCT((Eingabe!$B$16:$B$165&lt;&gt;"")*(Eingabe!$J$16:$J$165)*--(A89&gt;=Eingabe!$G$16:$G$165)*--(A89&lt;=Eingabe!$H$16:$H$165)*--(WEEKDAY(A89,2)&lt;=5)))</f>
        <v/>
      </c>
      <c r="G89" s="8">
        <f>IF(A89="","",SUM($F$2:F89))</f>
        <v/>
      </c>
      <c r="H89" s="8">
        <f>IF(A89="","",Eingabe!$B$7-G89)</f>
        <v/>
      </c>
      <c r="I89" s="8">
        <f>IF(A89="","",Eingabe!$B$8-SUMIFS($F$2:F89,$D$2:D89,D89))</f>
        <v/>
      </c>
      <c r="J89" s="8">
        <f>IF(A89="","",IF(E89="",1E+99,IFERROR(VLOOKUP(E89,Eingabe!$D$5:$E$44,2,FALSE),Eingabe!$B$9)))</f>
        <v/>
      </c>
      <c r="K89" s="8">
        <f>IF(A89="","",IF(E89="",1E+99,J89-SUMIFS($F$2:F89,$E$2:E89,E89)))</f>
        <v/>
      </c>
      <c r="L89" s="5">
        <f>IF(A89="","",IF(OR(H89&lt;0,I89&lt;0,K89&lt;0),"UNMOEGLICH","OK"))</f>
        <v/>
      </c>
    </row>
    <row r="90">
      <c r="A90" s="7">
        <f>IF(ROW()-1&lt;=Eingabe!$B$4-Eingabe!$B$3+1,Eingabe!$B$3+ROW()-2,"")</f>
        <v/>
      </c>
      <c r="B90" s="5">
        <f>IF(A90="","",TEXT(A90,"yyyy-mm-dd"))</f>
        <v/>
      </c>
      <c r="C90" s="5">
        <f>IF(A90="","",TEXT(A90,"ddd"))</f>
        <v/>
      </c>
      <c r="D90" s="5">
        <f>IF(A90="","",TEXT(A90,"yyyy-mm"))</f>
        <v/>
      </c>
      <c r="E90" s="5">
        <f>IF(A90="","",IF(A90&lt;Eingabe!$B$5,"",INT((A90-Eingabe!$B$5)/(Eingabe!$B$6*7))+1))</f>
        <v/>
      </c>
      <c r="F90" s="8">
        <f>IF(A90="","",SUMPRODUCT((Eingabe!$B$16:$B$165&lt;&gt;"")*(Eingabe!$J$16:$J$165)*--(A90&gt;=Eingabe!$G$16:$G$165)*--(A90&lt;=Eingabe!$H$16:$H$165)*--(WEEKDAY(A90,2)&lt;=5)))</f>
        <v/>
      </c>
      <c r="G90" s="8">
        <f>IF(A90="","",SUM($F$2:F90))</f>
        <v/>
      </c>
      <c r="H90" s="8">
        <f>IF(A90="","",Eingabe!$B$7-G90)</f>
        <v/>
      </c>
      <c r="I90" s="8">
        <f>IF(A90="","",Eingabe!$B$8-SUMIFS($F$2:F90,$D$2:D90,D90))</f>
        <v/>
      </c>
      <c r="J90" s="8">
        <f>IF(A90="","",IF(E90="",1E+99,IFERROR(VLOOKUP(E90,Eingabe!$D$5:$E$44,2,FALSE),Eingabe!$B$9)))</f>
        <v/>
      </c>
      <c r="K90" s="8">
        <f>IF(A90="","",IF(E90="",1E+99,J90-SUMIFS($F$2:F90,$E$2:E90,E90)))</f>
        <v/>
      </c>
      <c r="L90" s="5">
        <f>IF(A90="","",IF(OR(H90&lt;0,I90&lt;0,K90&lt;0),"UNMOEGLICH","OK"))</f>
        <v/>
      </c>
    </row>
    <row r="91">
      <c r="A91" s="7">
        <f>IF(ROW()-1&lt;=Eingabe!$B$4-Eingabe!$B$3+1,Eingabe!$B$3+ROW()-2,"")</f>
        <v/>
      </c>
      <c r="B91" s="5">
        <f>IF(A91="","",TEXT(A91,"yyyy-mm-dd"))</f>
        <v/>
      </c>
      <c r="C91" s="5">
        <f>IF(A91="","",TEXT(A91,"ddd"))</f>
        <v/>
      </c>
      <c r="D91" s="5">
        <f>IF(A91="","",TEXT(A91,"yyyy-mm"))</f>
        <v/>
      </c>
      <c r="E91" s="5">
        <f>IF(A91="","",IF(A91&lt;Eingabe!$B$5,"",INT((A91-Eingabe!$B$5)/(Eingabe!$B$6*7))+1))</f>
        <v/>
      </c>
      <c r="F91" s="8">
        <f>IF(A91="","",SUMPRODUCT((Eingabe!$B$16:$B$165&lt;&gt;"")*(Eingabe!$J$16:$J$165)*--(A91&gt;=Eingabe!$G$16:$G$165)*--(A91&lt;=Eingabe!$H$16:$H$165)*--(WEEKDAY(A91,2)&lt;=5)))</f>
        <v/>
      </c>
      <c r="G91" s="8">
        <f>IF(A91="","",SUM($F$2:F91))</f>
        <v/>
      </c>
      <c r="H91" s="8">
        <f>IF(A91="","",Eingabe!$B$7-G91)</f>
        <v/>
      </c>
      <c r="I91" s="8">
        <f>IF(A91="","",Eingabe!$B$8-SUMIFS($F$2:F91,$D$2:D91,D91))</f>
        <v/>
      </c>
      <c r="J91" s="8">
        <f>IF(A91="","",IF(E91="",1E+99,IFERROR(VLOOKUP(E91,Eingabe!$D$5:$E$44,2,FALSE),Eingabe!$B$9)))</f>
        <v/>
      </c>
      <c r="K91" s="8">
        <f>IF(A91="","",IF(E91="",1E+99,J91-SUMIFS($F$2:F91,$E$2:E91,E91)))</f>
        <v/>
      </c>
      <c r="L91" s="5">
        <f>IF(A91="","",IF(OR(H91&lt;0,I91&lt;0,K91&lt;0),"UNMOEGLICH","OK"))</f>
        <v/>
      </c>
    </row>
    <row r="92">
      <c r="A92" s="7">
        <f>IF(ROW()-1&lt;=Eingabe!$B$4-Eingabe!$B$3+1,Eingabe!$B$3+ROW()-2,"")</f>
        <v/>
      </c>
      <c r="B92" s="5">
        <f>IF(A92="","",TEXT(A92,"yyyy-mm-dd"))</f>
        <v/>
      </c>
      <c r="C92" s="5">
        <f>IF(A92="","",TEXT(A92,"ddd"))</f>
        <v/>
      </c>
      <c r="D92" s="5">
        <f>IF(A92="","",TEXT(A92,"yyyy-mm"))</f>
        <v/>
      </c>
      <c r="E92" s="5">
        <f>IF(A92="","",IF(A92&lt;Eingabe!$B$5,"",INT((A92-Eingabe!$B$5)/(Eingabe!$B$6*7))+1))</f>
        <v/>
      </c>
      <c r="F92" s="8">
        <f>IF(A92="","",SUMPRODUCT((Eingabe!$B$16:$B$165&lt;&gt;"")*(Eingabe!$J$16:$J$165)*--(A92&gt;=Eingabe!$G$16:$G$165)*--(A92&lt;=Eingabe!$H$16:$H$165)*--(WEEKDAY(A92,2)&lt;=5)))</f>
        <v/>
      </c>
      <c r="G92" s="8">
        <f>IF(A92="","",SUM($F$2:F92))</f>
        <v/>
      </c>
      <c r="H92" s="8">
        <f>IF(A92="","",Eingabe!$B$7-G92)</f>
        <v/>
      </c>
      <c r="I92" s="8">
        <f>IF(A92="","",Eingabe!$B$8-SUMIFS($F$2:F92,$D$2:D92,D92))</f>
        <v/>
      </c>
      <c r="J92" s="8">
        <f>IF(A92="","",IF(E92="",1E+99,IFERROR(VLOOKUP(E92,Eingabe!$D$5:$E$44,2,FALSE),Eingabe!$B$9)))</f>
        <v/>
      </c>
      <c r="K92" s="8">
        <f>IF(A92="","",IF(E92="",1E+99,J92-SUMIFS($F$2:F92,$E$2:E92,E92)))</f>
        <v/>
      </c>
      <c r="L92" s="5">
        <f>IF(A92="","",IF(OR(H92&lt;0,I92&lt;0,K92&lt;0),"UNMOEGLICH","OK"))</f>
        <v/>
      </c>
    </row>
    <row r="93">
      <c r="A93" s="7">
        <f>IF(ROW()-1&lt;=Eingabe!$B$4-Eingabe!$B$3+1,Eingabe!$B$3+ROW()-2,"")</f>
        <v/>
      </c>
      <c r="B93" s="5">
        <f>IF(A93="","",TEXT(A93,"yyyy-mm-dd"))</f>
        <v/>
      </c>
      <c r="C93" s="5">
        <f>IF(A93="","",TEXT(A93,"ddd"))</f>
        <v/>
      </c>
      <c r="D93" s="5">
        <f>IF(A93="","",TEXT(A93,"yyyy-mm"))</f>
        <v/>
      </c>
      <c r="E93" s="5">
        <f>IF(A93="","",IF(A93&lt;Eingabe!$B$5,"",INT((A93-Eingabe!$B$5)/(Eingabe!$B$6*7))+1))</f>
        <v/>
      </c>
      <c r="F93" s="8">
        <f>IF(A93="","",SUMPRODUCT((Eingabe!$B$16:$B$165&lt;&gt;"")*(Eingabe!$J$16:$J$165)*--(A93&gt;=Eingabe!$G$16:$G$165)*--(A93&lt;=Eingabe!$H$16:$H$165)*--(WEEKDAY(A93,2)&lt;=5)))</f>
        <v/>
      </c>
      <c r="G93" s="8">
        <f>IF(A93="","",SUM($F$2:F93))</f>
        <v/>
      </c>
      <c r="H93" s="8">
        <f>IF(A93="","",Eingabe!$B$7-G93)</f>
        <v/>
      </c>
      <c r="I93" s="8">
        <f>IF(A93="","",Eingabe!$B$8-SUMIFS($F$2:F93,$D$2:D93,D93))</f>
        <v/>
      </c>
      <c r="J93" s="8">
        <f>IF(A93="","",IF(E93="",1E+99,IFERROR(VLOOKUP(E93,Eingabe!$D$5:$E$44,2,FALSE),Eingabe!$B$9)))</f>
        <v/>
      </c>
      <c r="K93" s="8">
        <f>IF(A93="","",IF(E93="",1E+99,J93-SUMIFS($F$2:F93,$E$2:E93,E93)))</f>
        <v/>
      </c>
      <c r="L93" s="5">
        <f>IF(A93="","",IF(OR(H93&lt;0,I93&lt;0,K93&lt;0),"UNMOEGLICH","OK"))</f>
        <v/>
      </c>
    </row>
    <row r="94">
      <c r="A94" s="7">
        <f>IF(ROW()-1&lt;=Eingabe!$B$4-Eingabe!$B$3+1,Eingabe!$B$3+ROW()-2,"")</f>
        <v/>
      </c>
      <c r="B94" s="5">
        <f>IF(A94="","",TEXT(A94,"yyyy-mm-dd"))</f>
        <v/>
      </c>
      <c r="C94" s="5">
        <f>IF(A94="","",TEXT(A94,"ddd"))</f>
        <v/>
      </c>
      <c r="D94" s="5">
        <f>IF(A94="","",TEXT(A94,"yyyy-mm"))</f>
        <v/>
      </c>
      <c r="E94" s="5">
        <f>IF(A94="","",IF(A94&lt;Eingabe!$B$5,"",INT((A94-Eingabe!$B$5)/(Eingabe!$B$6*7))+1))</f>
        <v/>
      </c>
      <c r="F94" s="8">
        <f>IF(A94="","",SUMPRODUCT((Eingabe!$B$16:$B$165&lt;&gt;"")*(Eingabe!$J$16:$J$165)*--(A94&gt;=Eingabe!$G$16:$G$165)*--(A94&lt;=Eingabe!$H$16:$H$165)*--(WEEKDAY(A94,2)&lt;=5)))</f>
        <v/>
      </c>
      <c r="G94" s="8">
        <f>IF(A94="","",SUM($F$2:F94))</f>
        <v/>
      </c>
      <c r="H94" s="8">
        <f>IF(A94="","",Eingabe!$B$7-G94)</f>
        <v/>
      </c>
      <c r="I94" s="8">
        <f>IF(A94="","",Eingabe!$B$8-SUMIFS($F$2:F94,$D$2:D94,D94))</f>
        <v/>
      </c>
      <c r="J94" s="8">
        <f>IF(A94="","",IF(E94="",1E+99,IFERROR(VLOOKUP(E94,Eingabe!$D$5:$E$44,2,FALSE),Eingabe!$B$9)))</f>
        <v/>
      </c>
      <c r="K94" s="8">
        <f>IF(A94="","",IF(E94="",1E+99,J94-SUMIFS($F$2:F94,$E$2:E94,E94)))</f>
        <v/>
      </c>
      <c r="L94" s="5">
        <f>IF(A94="","",IF(OR(H94&lt;0,I94&lt;0,K94&lt;0),"UNMOEGLICH","OK"))</f>
        <v/>
      </c>
    </row>
    <row r="95">
      <c r="A95" s="7">
        <f>IF(ROW()-1&lt;=Eingabe!$B$4-Eingabe!$B$3+1,Eingabe!$B$3+ROW()-2,"")</f>
        <v/>
      </c>
      <c r="B95" s="5">
        <f>IF(A95="","",TEXT(A95,"yyyy-mm-dd"))</f>
        <v/>
      </c>
      <c r="C95" s="5">
        <f>IF(A95="","",TEXT(A95,"ddd"))</f>
        <v/>
      </c>
      <c r="D95" s="5">
        <f>IF(A95="","",TEXT(A95,"yyyy-mm"))</f>
        <v/>
      </c>
      <c r="E95" s="5">
        <f>IF(A95="","",IF(A95&lt;Eingabe!$B$5,"",INT((A95-Eingabe!$B$5)/(Eingabe!$B$6*7))+1))</f>
        <v/>
      </c>
      <c r="F95" s="8">
        <f>IF(A95="","",SUMPRODUCT((Eingabe!$B$16:$B$165&lt;&gt;"")*(Eingabe!$J$16:$J$165)*--(A95&gt;=Eingabe!$G$16:$G$165)*--(A95&lt;=Eingabe!$H$16:$H$165)*--(WEEKDAY(A95,2)&lt;=5)))</f>
        <v/>
      </c>
      <c r="G95" s="8">
        <f>IF(A95="","",SUM($F$2:F95))</f>
        <v/>
      </c>
      <c r="H95" s="8">
        <f>IF(A95="","",Eingabe!$B$7-G95)</f>
        <v/>
      </c>
      <c r="I95" s="8">
        <f>IF(A95="","",Eingabe!$B$8-SUMIFS($F$2:F95,$D$2:D95,D95))</f>
        <v/>
      </c>
      <c r="J95" s="8">
        <f>IF(A95="","",IF(E95="",1E+99,IFERROR(VLOOKUP(E95,Eingabe!$D$5:$E$44,2,FALSE),Eingabe!$B$9)))</f>
        <v/>
      </c>
      <c r="K95" s="8">
        <f>IF(A95="","",IF(E95="",1E+99,J95-SUMIFS($F$2:F95,$E$2:E95,E95)))</f>
        <v/>
      </c>
      <c r="L95" s="5">
        <f>IF(A95="","",IF(OR(H95&lt;0,I95&lt;0,K95&lt;0),"UNMOEGLICH","OK"))</f>
        <v/>
      </c>
    </row>
    <row r="96">
      <c r="A96" s="7">
        <f>IF(ROW()-1&lt;=Eingabe!$B$4-Eingabe!$B$3+1,Eingabe!$B$3+ROW()-2,"")</f>
        <v/>
      </c>
      <c r="B96" s="5">
        <f>IF(A96="","",TEXT(A96,"yyyy-mm-dd"))</f>
        <v/>
      </c>
      <c r="C96" s="5">
        <f>IF(A96="","",TEXT(A96,"ddd"))</f>
        <v/>
      </c>
      <c r="D96" s="5">
        <f>IF(A96="","",TEXT(A96,"yyyy-mm"))</f>
        <v/>
      </c>
      <c r="E96" s="5">
        <f>IF(A96="","",IF(A96&lt;Eingabe!$B$5,"",INT((A96-Eingabe!$B$5)/(Eingabe!$B$6*7))+1))</f>
        <v/>
      </c>
      <c r="F96" s="8">
        <f>IF(A96="","",SUMPRODUCT((Eingabe!$B$16:$B$165&lt;&gt;"")*(Eingabe!$J$16:$J$165)*--(A96&gt;=Eingabe!$G$16:$G$165)*--(A96&lt;=Eingabe!$H$16:$H$165)*--(WEEKDAY(A96,2)&lt;=5)))</f>
        <v/>
      </c>
      <c r="G96" s="8">
        <f>IF(A96="","",SUM($F$2:F96))</f>
        <v/>
      </c>
      <c r="H96" s="8">
        <f>IF(A96="","",Eingabe!$B$7-G96)</f>
        <v/>
      </c>
      <c r="I96" s="8">
        <f>IF(A96="","",Eingabe!$B$8-SUMIFS($F$2:F96,$D$2:D96,D96))</f>
        <v/>
      </c>
      <c r="J96" s="8">
        <f>IF(A96="","",IF(E96="",1E+99,IFERROR(VLOOKUP(E96,Eingabe!$D$5:$E$44,2,FALSE),Eingabe!$B$9)))</f>
        <v/>
      </c>
      <c r="K96" s="8">
        <f>IF(A96="","",IF(E96="",1E+99,J96-SUMIFS($F$2:F96,$E$2:E96,E96)))</f>
        <v/>
      </c>
      <c r="L96" s="5">
        <f>IF(A96="","",IF(OR(H96&lt;0,I96&lt;0,K96&lt;0),"UNMOEGLICH","OK"))</f>
        <v/>
      </c>
    </row>
    <row r="97">
      <c r="A97" s="7">
        <f>IF(ROW()-1&lt;=Eingabe!$B$4-Eingabe!$B$3+1,Eingabe!$B$3+ROW()-2,"")</f>
        <v/>
      </c>
      <c r="B97" s="5">
        <f>IF(A97="","",TEXT(A97,"yyyy-mm-dd"))</f>
        <v/>
      </c>
      <c r="C97" s="5">
        <f>IF(A97="","",TEXT(A97,"ddd"))</f>
        <v/>
      </c>
      <c r="D97" s="5">
        <f>IF(A97="","",TEXT(A97,"yyyy-mm"))</f>
        <v/>
      </c>
      <c r="E97" s="5">
        <f>IF(A97="","",IF(A97&lt;Eingabe!$B$5,"",INT((A97-Eingabe!$B$5)/(Eingabe!$B$6*7))+1))</f>
        <v/>
      </c>
      <c r="F97" s="8">
        <f>IF(A97="","",SUMPRODUCT((Eingabe!$B$16:$B$165&lt;&gt;"")*(Eingabe!$J$16:$J$165)*--(A97&gt;=Eingabe!$G$16:$G$165)*--(A97&lt;=Eingabe!$H$16:$H$165)*--(WEEKDAY(A97,2)&lt;=5)))</f>
        <v/>
      </c>
      <c r="G97" s="8">
        <f>IF(A97="","",SUM($F$2:F97))</f>
        <v/>
      </c>
      <c r="H97" s="8">
        <f>IF(A97="","",Eingabe!$B$7-G97)</f>
        <v/>
      </c>
      <c r="I97" s="8">
        <f>IF(A97="","",Eingabe!$B$8-SUMIFS($F$2:F97,$D$2:D97,D97))</f>
        <v/>
      </c>
      <c r="J97" s="8">
        <f>IF(A97="","",IF(E97="",1E+99,IFERROR(VLOOKUP(E97,Eingabe!$D$5:$E$44,2,FALSE),Eingabe!$B$9)))</f>
        <v/>
      </c>
      <c r="K97" s="8">
        <f>IF(A97="","",IF(E97="",1E+99,J97-SUMIFS($F$2:F97,$E$2:E97,E97)))</f>
        <v/>
      </c>
      <c r="L97" s="5">
        <f>IF(A97="","",IF(OR(H97&lt;0,I97&lt;0,K97&lt;0),"UNMOEGLICH","OK"))</f>
        <v/>
      </c>
    </row>
    <row r="98">
      <c r="A98" s="7">
        <f>IF(ROW()-1&lt;=Eingabe!$B$4-Eingabe!$B$3+1,Eingabe!$B$3+ROW()-2,"")</f>
        <v/>
      </c>
      <c r="B98" s="5">
        <f>IF(A98="","",TEXT(A98,"yyyy-mm-dd"))</f>
        <v/>
      </c>
      <c r="C98" s="5">
        <f>IF(A98="","",TEXT(A98,"ddd"))</f>
        <v/>
      </c>
      <c r="D98" s="5">
        <f>IF(A98="","",TEXT(A98,"yyyy-mm"))</f>
        <v/>
      </c>
      <c r="E98" s="5">
        <f>IF(A98="","",IF(A98&lt;Eingabe!$B$5,"",INT((A98-Eingabe!$B$5)/(Eingabe!$B$6*7))+1))</f>
        <v/>
      </c>
      <c r="F98" s="8">
        <f>IF(A98="","",SUMPRODUCT((Eingabe!$B$16:$B$165&lt;&gt;"")*(Eingabe!$J$16:$J$165)*--(A98&gt;=Eingabe!$G$16:$G$165)*--(A98&lt;=Eingabe!$H$16:$H$165)*--(WEEKDAY(A98,2)&lt;=5)))</f>
        <v/>
      </c>
      <c r="G98" s="8">
        <f>IF(A98="","",SUM($F$2:F98))</f>
        <v/>
      </c>
      <c r="H98" s="8">
        <f>IF(A98="","",Eingabe!$B$7-G98)</f>
        <v/>
      </c>
      <c r="I98" s="8">
        <f>IF(A98="","",Eingabe!$B$8-SUMIFS($F$2:F98,$D$2:D98,D98))</f>
        <v/>
      </c>
      <c r="J98" s="8">
        <f>IF(A98="","",IF(E98="",1E+99,IFERROR(VLOOKUP(E98,Eingabe!$D$5:$E$44,2,FALSE),Eingabe!$B$9)))</f>
        <v/>
      </c>
      <c r="K98" s="8">
        <f>IF(A98="","",IF(E98="",1E+99,J98-SUMIFS($F$2:F98,$E$2:E98,E98)))</f>
        <v/>
      </c>
      <c r="L98" s="5">
        <f>IF(A98="","",IF(OR(H98&lt;0,I98&lt;0,K98&lt;0),"UNMOEGLICH","OK"))</f>
        <v/>
      </c>
    </row>
    <row r="99">
      <c r="A99" s="7">
        <f>IF(ROW()-1&lt;=Eingabe!$B$4-Eingabe!$B$3+1,Eingabe!$B$3+ROW()-2,"")</f>
        <v/>
      </c>
      <c r="B99" s="5">
        <f>IF(A99="","",TEXT(A99,"yyyy-mm-dd"))</f>
        <v/>
      </c>
      <c r="C99" s="5">
        <f>IF(A99="","",TEXT(A99,"ddd"))</f>
        <v/>
      </c>
      <c r="D99" s="5">
        <f>IF(A99="","",TEXT(A99,"yyyy-mm"))</f>
        <v/>
      </c>
      <c r="E99" s="5">
        <f>IF(A99="","",IF(A99&lt;Eingabe!$B$5,"",INT((A99-Eingabe!$B$5)/(Eingabe!$B$6*7))+1))</f>
        <v/>
      </c>
      <c r="F99" s="8">
        <f>IF(A99="","",SUMPRODUCT((Eingabe!$B$16:$B$165&lt;&gt;"")*(Eingabe!$J$16:$J$165)*--(A99&gt;=Eingabe!$G$16:$G$165)*--(A99&lt;=Eingabe!$H$16:$H$165)*--(WEEKDAY(A99,2)&lt;=5)))</f>
        <v/>
      </c>
      <c r="G99" s="8">
        <f>IF(A99="","",SUM($F$2:F99))</f>
        <v/>
      </c>
      <c r="H99" s="8">
        <f>IF(A99="","",Eingabe!$B$7-G99)</f>
        <v/>
      </c>
      <c r="I99" s="8">
        <f>IF(A99="","",Eingabe!$B$8-SUMIFS($F$2:F99,$D$2:D99,D99))</f>
        <v/>
      </c>
      <c r="J99" s="8">
        <f>IF(A99="","",IF(E99="",1E+99,IFERROR(VLOOKUP(E99,Eingabe!$D$5:$E$44,2,FALSE),Eingabe!$B$9)))</f>
        <v/>
      </c>
      <c r="K99" s="8">
        <f>IF(A99="","",IF(E99="",1E+99,J99-SUMIFS($F$2:F99,$E$2:E99,E99)))</f>
        <v/>
      </c>
      <c r="L99" s="5">
        <f>IF(A99="","",IF(OR(H99&lt;0,I99&lt;0,K99&lt;0),"UNMOEGLICH","OK"))</f>
        <v/>
      </c>
    </row>
    <row r="100">
      <c r="A100" s="7">
        <f>IF(ROW()-1&lt;=Eingabe!$B$4-Eingabe!$B$3+1,Eingabe!$B$3+ROW()-2,"")</f>
        <v/>
      </c>
      <c r="B100" s="5">
        <f>IF(A100="","",TEXT(A100,"yyyy-mm-dd"))</f>
        <v/>
      </c>
      <c r="C100" s="5">
        <f>IF(A100="","",TEXT(A100,"ddd"))</f>
        <v/>
      </c>
      <c r="D100" s="5">
        <f>IF(A100="","",TEXT(A100,"yyyy-mm"))</f>
        <v/>
      </c>
      <c r="E100" s="5">
        <f>IF(A100="","",IF(A100&lt;Eingabe!$B$5,"",INT((A100-Eingabe!$B$5)/(Eingabe!$B$6*7))+1))</f>
        <v/>
      </c>
      <c r="F100" s="8">
        <f>IF(A100="","",SUMPRODUCT((Eingabe!$B$16:$B$165&lt;&gt;"")*(Eingabe!$J$16:$J$165)*--(A100&gt;=Eingabe!$G$16:$G$165)*--(A100&lt;=Eingabe!$H$16:$H$165)*--(WEEKDAY(A100,2)&lt;=5)))</f>
        <v/>
      </c>
      <c r="G100" s="8">
        <f>IF(A100="","",SUM($F$2:F100))</f>
        <v/>
      </c>
      <c r="H100" s="8">
        <f>IF(A100="","",Eingabe!$B$7-G100)</f>
        <v/>
      </c>
      <c r="I100" s="8">
        <f>IF(A100="","",Eingabe!$B$8-SUMIFS($F$2:F100,$D$2:D100,D100))</f>
        <v/>
      </c>
      <c r="J100" s="8">
        <f>IF(A100="","",IF(E100="",1E+99,IFERROR(VLOOKUP(E100,Eingabe!$D$5:$E$44,2,FALSE),Eingabe!$B$9)))</f>
        <v/>
      </c>
      <c r="K100" s="8">
        <f>IF(A100="","",IF(E100="",1E+99,J100-SUMIFS($F$2:F100,$E$2:E100,E100)))</f>
        <v/>
      </c>
      <c r="L100" s="5">
        <f>IF(A100="","",IF(OR(H100&lt;0,I100&lt;0,K100&lt;0),"UNMOEGLICH","OK"))</f>
        <v/>
      </c>
    </row>
    <row r="101">
      <c r="A101" s="7">
        <f>IF(ROW()-1&lt;=Eingabe!$B$4-Eingabe!$B$3+1,Eingabe!$B$3+ROW()-2,"")</f>
        <v/>
      </c>
      <c r="B101" s="5">
        <f>IF(A101="","",TEXT(A101,"yyyy-mm-dd"))</f>
        <v/>
      </c>
      <c r="C101" s="5">
        <f>IF(A101="","",TEXT(A101,"ddd"))</f>
        <v/>
      </c>
      <c r="D101" s="5">
        <f>IF(A101="","",TEXT(A101,"yyyy-mm"))</f>
        <v/>
      </c>
      <c r="E101" s="5">
        <f>IF(A101="","",IF(A101&lt;Eingabe!$B$5,"",INT((A101-Eingabe!$B$5)/(Eingabe!$B$6*7))+1))</f>
        <v/>
      </c>
      <c r="F101" s="8">
        <f>IF(A101="","",SUMPRODUCT((Eingabe!$B$16:$B$165&lt;&gt;"")*(Eingabe!$J$16:$J$165)*--(A101&gt;=Eingabe!$G$16:$G$165)*--(A101&lt;=Eingabe!$H$16:$H$165)*--(WEEKDAY(A101,2)&lt;=5)))</f>
        <v/>
      </c>
      <c r="G101" s="8">
        <f>IF(A101="","",SUM($F$2:F101))</f>
        <v/>
      </c>
      <c r="H101" s="8">
        <f>IF(A101="","",Eingabe!$B$7-G101)</f>
        <v/>
      </c>
      <c r="I101" s="8">
        <f>IF(A101="","",Eingabe!$B$8-SUMIFS($F$2:F101,$D$2:D101,D101))</f>
        <v/>
      </c>
      <c r="J101" s="8">
        <f>IF(A101="","",IF(E101="",1E+99,IFERROR(VLOOKUP(E101,Eingabe!$D$5:$E$44,2,FALSE),Eingabe!$B$9)))</f>
        <v/>
      </c>
      <c r="K101" s="8">
        <f>IF(A101="","",IF(E101="",1E+99,J101-SUMIFS($F$2:F101,$E$2:E101,E101)))</f>
        <v/>
      </c>
      <c r="L101" s="5">
        <f>IF(A101="","",IF(OR(H101&lt;0,I101&lt;0,K101&lt;0),"UNMOEGLICH","OK"))</f>
        <v/>
      </c>
    </row>
    <row r="102">
      <c r="A102" s="7">
        <f>IF(ROW()-1&lt;=Eingabe!$B$4-Eingabe!$B$3+1,Eingabe!$B$3+ROW()-2,"")</f>
        <v/>
      </c>
      <c r="B102" s="5">
        <f>IF(A102="","",TEXT(A102,"yyyy-mm-dd"))</f>
        <v/>
      </c>
      <c r="C102" s="5">
        <f>IF(A102="","",TEXT(A102,"ddd"))</f>
        <v/>
      </c>
      <c r="D102" s="5">
        <f>IF(A102="","",TEXT(A102,"yyyy-mm"))</f>
        <v/>
      </c>
      <c r="E102" s="5">
        <f>IF(A102="","",IF(A102&lt;Eingabe!$B$5,"",INT((A102-Eingabe!$B$5)/(Eingabe!$B$6*7))+1))</f>
        <v/>
      </c>
      <c r="F102" s="8">
        <f>IF(A102="","",SUMPRODUCT((Eingabe!$B$16:$B$165&lt;&gt;"")*(Eingabe!$J$16:$J$165)*--(A102&gt;=Eingabe!$G$16:$G$165)*--(A102&lt;=Eingabe!$H$16:$H$165)*--(WEEKDAY(A102,2)&lt;=5)))</f>
        <v/>
      </c>
      <c r="G102" s="8">
        <f>IF(A102="","",SUM($F$2:F102))</f>
        <v/>
      </c>
      <c r="H102" s="8">
        <f>IF(A102="","",Eingabe!$B$7-G102)</f>
        <v/>
      </c>
      <c r="I102" s="8">
        <f>IF(A102="","",Eingabe!$B$8-SUMIFS($F$2:F102,$D$2:D102,D102))</f>
        <v/>
      </c>
      <c r="J102" s="8">
        <f>IF(A102="","",IF(E102="",1E+99,IFERROR(VLOOKUP(E102,Eingabe!$D$5:$E$44,2,FALSE),Eingabe!$B$9)))</f>
        <v/>
      </c>
      <c r="K102" s="8">
        <f>IF(A102="","",IF(E102="",1E+99,J102-SUMIFS($F$2:F102,$E$2:E102,E102)))</f>
        <v/>
      </c>
      <c r="L102" s="5">
        <f>IF(A102="","",IF(OR(H102&lt;0,I102&lt;0,K102&lt;0),"UNMOEGLICH","OK"))</f>
        <v/>
      </c>
    </row>
    <row r="103">
      <c r="A103" s="7">
        <f>IF(ROW()-1&lt;=Eingabe!$B$4-Eingabe!$B$3+1,Eingabe!$B$3+ROW()-2,"")</f>
        <v/>
      </c>
      <c r="B103" s="5">
        <f>IF(A103="","",TEXT(A103,"yyyy-mm-dd"))</f>
        <v/>
      </c>
      <c r="C103" s="5">
        <f>IF(A103="","",TEXT(A103,"ddd"))</f>
        <v/>
      </c>
      <c r="D103" s="5">
        <f>IF(A103="","",TEXT(A103,"yyyy-mm"))</f>
        <v/>
      </c>
      <c r="E103" s="5">
        <f>IF(A103="","",IF(A103&lt;Eingabe!$B$5,"",INT((A103-Eingabe!$B$5)/(Eingabe!$B$6*7))+1))</f>
        <v/>
      </c>
      <c r="F103" s="8">
        <f>IF(A103="","",SUMPRODUCT((Eingabe!$B$16:$B$165&lt;&gt;"")*(Eingabe!$J$16:$J$165)*--(A103&gt;=Eingabe!$G$16:$G$165)*--(A103&lt;=Eingabe!$H$16:$H$165)*--(WEEKDAY(A103,2)&lt;=5)))</f>
        <v/>
      </c>
      <c r="G103" s="8">
        <f>IF(A103="","",SUM($F$2:F103))</f>
        <v/>
      </c>
      <c r="H103" s="8">
        <f>IF(A103="","",Eingabe!$B$7-G103)</f>
        <v/>
      </c>
      <c r="I103" s="8">
        <f>IF(A103="","",Eingabe!$B$8-SUMIFS($F$2:F103,$D$2:D103,D103))</f>
        <v/>
      </c>
      <c r="J103" s="8">
        <f>IF(A103="","",IF(E103="",1E+99,IFERROR(VLOOKUP(E103,Eingabe!$D$5:$E$44,2,FALSE),Eingabe!$B$9)))</f>
        <v/>
      </c>
      <c r="K103" s="8">
        <f>IF(A103="","",IF(E103="",1E+99,J103-SUMIFS($F$2:F103,$E$2:E103,E103)))</f>
        <v/>
      </c>
      <c r="L103" s="5">
        <f>IF(A103="","",IF(OR(H103&lt;0,I103&lt;0,K103&lt;0),"UNMOEGLICH","OK"))</f>
        <v/>
      </c>
    </row>
    <row r="104">
      <c r="A104" s="7">
        <f>IF(ROW()-1&lt;=Eingabe!$B$4-Eingabe!$B$3+1,Eingabe!$B$3+ROW()-2,"")</f>
        <v/>
      </c>
      <c r="B104" s="5">
        <f>IF(A104="","",TEXT(A104,"yyyy-mm-dd"))</f>
        <v/>
      </c>
      <c r="C104" s="5">
        <f>IF(A104="","",TEXT(A104,"ddd"))</f>
        <v/>
      </c>
      <c r="D104" s="5">
        <f>IF(A104="","",TEXT(A104,"yyyy-mm"))</f>
        <v/>
      </c>
      <c r="E104" s="5">
        <f>IF(A104="","",IF(A104&lt;Eingabe!$B$5,"",INT((A104-Eingabe!$B$5)/(Eingabe!$B$6*7))+1))</f>
        <v/>
      </c>
      <c r="F104" s="8">
        <f>IF(A104="","",SUMPRODUCT((Eingabe!$B$16:$B$165&lt;&gt;"")*(Eingabe!$J$16:$J$165)*--(A104&gt;=Eingabe!$G$16:$G$165)*--(A104&lt;=Eingabe!$H$16:$H$165)*--(WEEKDAY(A104,2)&lt;=5)))</f>
        <v/>
      </c>
      <c r="G104" s="8">
        <f>IF(A104="","",SUM($F$2:F104))</f>
        <v/>
      </c>
      <c r="H104" s="8">
        <f>IF(A104="","",Eingabe!$B$7-G104)</f>
        <v/>
      </c>
      <c r="I104" s="8">
        <f>IF(A104="","",Eingabe!$B$8-SUMIFS($F$2:F104,$D$2:D104,D104))</f>
        <v/>
      </c>
      <c r="J104" s="8">
        <f>IF(A104="","",IF(E104="",1E+99,IFERROR(VLOOKUP(E104,Eingabe!$D$5:$E$44,2,FALSE),Eingabe!$B$9)))</f>
        <v/>
      </c>
      <c r="K104" s="8">
        <f>IF(A104="","",IF(E104="",1E+99,J104-SUMIFS($F$2:F104,$E$2:E104,E104)))</f>
        <v/>
      </c>
      <c r="L104" s="5">
        <f>IF(A104="","",IF(OR(H104&lt;0,I104&lt;0,K104&lt;0),"UNMOEGLICH","OK"))</f>
        <v/>
      </c>
    </row>
    <row r="105">
      <c r="A105" s="7">
        <f>IF(ROW()-1&lt;=Eingabe!$B$4-Eingabe!$B$3+1,Eingabe!$B$3+ROW()-2,"")</f>
        <v/>
      </c>
      <c r="B105" s="5">
        <f>IF(A105="","",TEXT(A105,"yyyy-mm-dd"))</f>
        <v/>
      </c>
      <c r="C105" s="5">
        <f>IF(A105="","",TEXT(A105,"ddd"))</f>
        <v/>
      </c>
      <c r="D105" s="5">
        <f>IF(A105="","",TEXT(A105,"yyyy-mm"))</f>
        <v/>
      </c>
      <c r="E105" s="5">
        <f>IF(A105="","",IF(A105&lt;Eingabe!$B$5,"",INT((A105-Eingabe!$B$5)/(Eingabe!$B$6*7))+1))</f>
        <v/>
      </c>
      <c r="F105" s="8">
        <f>IF(A105="","",SUMPRODUCT((Eingabe!$B$16:$B$165&lt;&gt;"")*(Eingabe!$J$16:$J$165)*--(A105&gt;=Eingabe!$G$16:$G$165)*--(A105&lt;=Eingabe!$H$16:$H$165)*--(WEEKDAY(A105,2)&lt;=5)))</f>
        <v/>
      </c>
      <c r="G105" s="8">
        <f>IF(A105="","",SUM($F$2:F105))</f>
        <v/>
      </c>
      <c r="H105" s="8">
        <f>IF(A105="","",Eingabe!$B$7-G105)</f>
        <v/>
      </c>
      <c r="I105" s="8">
        <f>IF(A105="","",Eingabe!$B$8-SUMIFS($F$2:F105,$D$2:D105,D105))</f>
        <v/>
      </c>
      <c r="J105" s="8">
        <f>IF(A105="","",IF(E105="",1E+99,IFERROR(VLOOKUP(E105,Eingabe!$D$5:$E$44,2,FALSE),Eingabe!$B$9)))</f>
        <v/>
      </c>
      <c r="K105" s="8">
        <f>IF(A105="","",IF(E105="",1E+99,J105-SUMIFS($F$2:F105,$E$2:E105,E105)))</f>
        <v/>
      </c>
      <c r="L105" s="5">
        <f>IF(A105="","",IF(OR(H105&lt;0,I105&lt;0,K105&lt;0),"UNMOEGLICH","OK"))</f>
        <v/>
      </c>
    </row>
    <row r="106">
      <c r="A106" s="7">
        <f>IF(ROW()-1&lt;=Eingabe!$B$4-Eingabe!$B$3+1,Eingabe!$B$3+ROW()-2,"")</f>
        <v/>
      </c>
      <c r="B106" s="5">
        <f>IF(A106="","",TEXT(A106,"yyyy-mm-dd"))</f>
        <v/>
      </c>
      <c r="C106" s="5">
        <f>IF(A106="","",TEXT(A106,"ddd"))</f>
        <v/>
      </c>
      <c r="D106" s="5">
        <f>IF(A106="","",TEXT(A106,"yyyy-mm"))</f>
        <v/>
      </c>
      <c r="E106" s="5">
        <f>IF(A106="","",IF(A106&lt;Eingabe!$B$5,"",INT((A106-Eingabe!$B$5)/(Eingabe!$B$6*7))+1))</f>
        <v/>
      </c>
      <c r="F106" s="8">
        <f>IF(A106="","",SUMPRODUCT((Eingabe!$B$16:$B$165&lt;&gt;"")*(Eingabe!$J$16:$J$165)*--(A106&gt;=Eingabe!$G$16:$G$165)*--(A106&lt;=Eingabe!$H$16:$H$165)*--(WEEKDAY(A106,2)&lt;=5)))</f>
        <v/>
      </c>
      <c r="G106" s="8">
        <f>IF(A106="","",SUM($F$2:F106))</f>
        <v/>
      </c>
      <c r="H106" s="8">
        <f>IF(A106="","",Eingabe!$B$7-G106)</f>
        <v/>
      </c>
      <c r="I106" s="8">
        <f>IF(A106="","",Eingabe!$B$8-SUMIFS($F$2:F106,$D$2:D106,D106))</f>
        <v/>
      </c>
      <c r="J106" s="8">
        <f>IF(A106="","",IF(E106="",1E+99,IFERROR(VLOOKUP(E106,Eingabe!$D$5:$E$44,2,FALSE),Eingabe!$B$9)))</f>
        <v/>
      </c>
      <c r="K106" s="8">
        <f>IF(A106="","",IF(E106="",1E+99,J106-SUMIFS($F$2:F106,$E$2:E106,E106)))</f>
        <v/>
      </c>
      <c r="L106" s="5">
        <f>IF(A106="","",IF(OR(H106&lt;0,I106&lt;0,K106&lt;0),"UNMOEGLICH","OK"))</f>
        <v/>
      </c>
    </row>
    <row r="107">
      <c r="A107" s="7">
        <f>IF(ROW()-1&lt;=Eingabe!$B$4-Eingabe!$B$3+1,Eingabe!$B$3+ROW()-2,"")</f>
        <v/>
      </c>
      <c r="B107" s="5">
        <f>IF(A107="","",TEXT(A107,"yyyy-mm-dd"))</f>
        <v/>
      </c>
      <c r="C107" s="5">
        <f>IF(A107="","",TEXT(A107,"ddd"))</f>
        <v/>
      </c>
      <c r="D107" s="5">
        <f>IF(A107="","",TEXT(A107,"yyyy-mm"))</f>
        <v/>
      </c>
      <c r="E107" s="5">
        <f>IF(A107="","",IF(A107&lt;Eingabe!$B$5,"",INT((A107-Eingabe!$B$5)/(Eingabe!$B$6*7))+1))</f>
        <v/>
      </c>
      <c r="F107" s="8">
        <f>IF(A107="","",SUMPRODUCT((Eingabe!$B$16:$B$165&lt;&gt;"")*(Eingabe!$J$16:$J$165)*--(A107&gt;=Eingabe!$G$16:$G$165)*--(A107&lt;=Eingabe!$H$16:$H$165)*--(WEEKDAY(A107,2)&lt;=5)))</f>
        <v/>
      </c>
      <c r="G107" s="8">
        <f>IF(A107="","",SUM($F$2:F107))</f>
        <v/>
      </c>
      <c r="H107" s="8">
        <f>IF(A107="","",Eingabe!$B$7-G107)</f>
        <v/>
      </c>
      <c r="I107" s="8">
        <f>IF(A107="","",Eingabe!$B$8-SUMIFS($F$2:F107,$D$2:D107,D107))</f>
        <v/>
      </c>
      <c r="J107" s="8">
        <f>IF(A107="","",IF(E107="",1E+99,IFERROR(VLOOKUP(E107,Eingabe!$D$5:$E$44,2,FALSE),Eingabe!$B$9)))</f>
        <v/>
      </c>
      <c r="K107" s="8">
        <f>IF(A107="","",IF(E107="",1E+99,J107-SUMIFS($F$2:F107,$E$2:E107,E107)))</f>
        <v/>
      </c>
      <c r="L107" s="5">
        <f>IF(A107="","",IF(OR(H107&lt;0,I107&lt;0,K107&lt;0),"UNMOEGLICH","OK"))</f>
        <v/>
      </c>
    </row>
    <row r="108">
      <c r="A108" s="7">
        <f>IF(ROW()-1&lt;=Eingabe!$B$4-Eingabe!$B$3+1,Eingabe!$B$3+ROW()-2,"")</f>
        <v/>
      </c>
      <c r="B108" s="5">
        <f>IF(A108="","",TEXT(A108,"yyyy-mm-dd"))</f>
        <v/>
      </c>
      <c r="C108" s="5">
        <f>IF(A108="","",TEXT(A108,"ddd"))</f>
        <v/>
      </c>
      <c r="D108" s="5">
        <f>IF(A108="","",TEXT(A108,"yyyy-mm"))</f>
        <v/>
      </c>
      <c r="E108" s="5">
        <f>IF(A108="","",IF(A108&lt;Eingabe!$B$5,"",INT((A108-Eingabe!$B$5)/(Eingabe!$B$6*7))+1))</f>
        <v/>
      </c>
      <c r="F108" s="8">
        <f>IF(A108="","",SUMPRODUCT((Eingabe!$B$16:$B$165&lt;&gt;"")*(Eingabe!$J$16:$J$165)*--(A108&gt;=Eingabe!$G$16:$G$165)*--(A108&lt;=Eingabe!$H$16:$H$165)*--(WEEKDAY(A108,2)&lt;=5)))</f>
        <v/>
      </c>
      <c r="G108" s="8">
        <f>IF(A108="","",SUM($F$2:F108))</f>
        <v/>
      </c>
      <c r="H108" s="8">
        <f>IF(A108="","",Eingabe!$B$7-G108)</f>
        <v/>
      </c>
      <c r="I108" s="8">
        <f>IF(A108="","",Eingabe!$B$8-SUMIFS($F$2:F108,$D$2:D108,D108))</f>
        <v/>
      </c>
      <c r="J108" s="8">
        <f>IF(A108="","",IF(E108="",1E+99,IFERROR(VLOOKUP(E108,Eingabe!$D$5:$E$44,2,FALSE),Eingabe!$B$9)))</f>
        <v/>
      </c>
      <c r="K108" s="8">
        <f>IF(A108="","",IF(E108="",1E+99,J108-SUMIFS($F$2:F108,$E$2:E108,E108)))</f>
        <v/>
      </c>
      <c r="L108" s="5">
        <f>IF(A108="","",IF(OR(H108&lt;0,I108&lt;0,K108&lt;0),"UNMOEGLICH","OK"))</f>
        <v/>
      </c>
    </row>
    <row r="109">
      <c r="A109" s="7">
        <f>IF(ROW()-1&lt;=Eingabe!$B$4-Eingabe!$B$3+1,Eingabe!$B$3+ROW()-2,"")</f>
        <v/>
      </c>
      <c r="B109" s="5">
        <f>IF(A109="","",TEXT(A109,"yyyy-mm-dd"))</f>
        <v/>
      </c>
      <c r="C109" s="5">
        <f>IF(A109="","",TEXT(A109,"ddd"))</f>
        <v/>
      </c>
      <c r="D109" s="5">
        <f>IF(A109="","",TEXT(A109,"yyyy-mm"))</f>
        <v/>
      </c>
      <c r="E109" s="5">
        <f>IF(A109="","",IF(A109&lt;Eingabe!$B$5,"",INT((A109-Eingabe!$B$5)/(Eingabe!$B$6*7))+1))</f>
        <v/>
      </c>
      <c r="F109" s="8">
        <f>IF(A109="","",SUMPRODUCT((Eingabe!$B$16:$B$165&lt;&gt;"")*(Eingabe!$J$16:$J$165)*--(A109&gt;=Eingabe!$G$16:$G$165)*--(A109&lt;=Eingabe!$H$16:$H$165)*--(WEEKDAY(A109,2)&lt;=5)))</f>
        <v/>
      </c>
      <c r="G109" s="8">
        <f>IF(A109="","",SUM($F$2:F109))</f>
        <v/>
      </c>
      <c r="H109" s="8">
        <f>IF(A109="","",Eingabe!$B$7-G109)</f>
        <v/>
      </c>
      <c r="I109" s="8">
        <f>IF(A109="","",Eingabe!$B$8-SUMIFS($F$2:F109,$D$2:D109,D109))</f>
        <v/>
      </c>
      <c r="J109" s="8">
        <f>IF(A109="","",IF(E109="",1E+99,IFERROR(VLOOKUP(E109,Eingabe!$D$5:$E$44,2,FALSE),Eingabe!$B$9)))</f>
        <v/>
      </c>
      <c r="K109" s="8">
        <f>IF(A109="","",IF(E109="",1E+99,J109-SUMIFS($F$2:F109,$E$2:E109,E109)))</f>
        <v/>
      </c>
      <c r="L109" s="5">
        <f>IF(A109="","",IF(OR(H109&lt;0,I109&lt;0,K109&lt;0),"UNMOEGLICH","OK"))</f>
        <v/>
      </c>
    </row>
    <row r="110">
      <c r="A110" s="7">
        <f>IF(ROW()-1&lt;=Eingabe!$B$4-Eingabe!$B$3+1,Eingabe!$B$3+ROW()-2,"")</f>
        <v/>
      </c>
      <c r="B110" s="5">
        <f>IF(A110="","",TEXT(A110,"yyyy-mm-dd"))</f>
        <v/>
      </c>
      <c r="C110" s="5">
        <f>IF(A110="","",TEXT(A110,"ddd"))</f>
        <v/>
      </c>
      <c r="D110" s="5">
        <f>IF(A110="","",TEXT(A110,"yyyy-mm"))</f>
        <v/>
      </c>
      <c r="E110" s="5">
        <f>IF(A110="","",IF(A110&lt;Eingabe!$B$5,"",INT((A110-Eingabe!$B$5)/(Eingabe!$B$6*7))+1))</f>
        <v/>
      </c>
      <c r="F110" s="8">
        <f>IF(A110="","",SUMPRODUCT((Eingabe!$B$16:$B$165&lt;&gt;"")*(Eingabe!$J$16:$J$165)*--(A110&gt;=Eingabe!$G$16:$G$165)*--(A110&lt;=Eingabe!$H$16:$H$165)*--(WEEKDAY(A110,2)&lt;=5)))</f>
        <v/>
      </c>
      <c r="G110" s="8">
        <f>IF(A110="","",SUM($F$2:F110))</f>
        <v/>
      </c>
      <c r="H110" s="8">
        <f>IF(A110="","",Eingabe!$B$7-G110)</f>
        <v/>
      </c>
      <c r="I110" s="8">
        <f>IF(A110="","",Eingabe!$B$8-SUMIFS($F$2:F110,$D$2:D110,D110))</f>
        <v/>
      </c>
      <c r="J110" s="8">
        <f>IF(A110="","",IF(E110="",1E+99,IFERROR(VLOOKUP(E110,Eingabe!$D$5:$E$44,2,FALSE),Eingabe!$B$9)))</f>
        <v/>
      </c>
      <c r="K110" s="8">
        <f>IF(A110="","",IF(E110="",1E+99,J110-SUMIFS($F$2:F110,$E$2:E110,E110)))</f>
        <v/>
      </c>
      <c r="L110" s="5">
        <f>IF(A110="","",IF(OR(H110&lt;0,I110&lt;0,K110&lt;0),"UNMOEGLICH","OK"))</f>
        <v/>
      </c>
    </row>
    <row r="111">
      <c r="A111" s="7">
        <f>IF(ROW()-1&lt;=Eingabe!$B$4-Eingabe!$B$3+1,Eingabe!$B$3+ROW()-2,"")</f>
        <v/>
      </c>
      <c r="B111" s="5">
        <f>IF(A111="","",TEXT(A111,"yyyy-mm-dd"))</f>
        <v/>
      </c>
      <c r="C111" s="5">
        <f>IF(A111="","",TEXT(A111,"ddd"))</f>
        <v/>
      </c>
      <c r="D111" s="5">
        <f>IF(A111="","",TEXT(A111,"yyyy-mm"))</f>
        <v/>
      </c>
      <c r="E111" s="5">
        <f>IF(A111="","",IF(A111&lt;Eingabe!$B$5,"",INT((A111-Eingabe!$B$5)/(Eingabe!$B$6*7))+1))</f>
        <v/>
      </c>
      <c r="F111" s="8">
        <f>IF(A111="","",SUMPRODUCT((Eingabe!$B$16:$B$165&lt;&gt;"")*(Eingabe!$J$16:$J$165)*--(A111&gt;=Eingabe!$G$16:$G$165)*--(A111&lt;=Eingabe!$H$16:$H$165)*--(WEEKDAY(A111,2)&lt;=5)))</f>
        <v/>
      </c>
      <c r="G111" s="8">
        <f>IF(A111="","",SUM($F$2:F111))</f>
        <v/>
      </c>
      <c r="H111" s="8">
        <f>IF(A111="","",Eingabe!$B$7-G111)</f>
        <v/>
      </c>
      <c r="I111" s="8">
        <f>IF(A111="","",Eingabe!$B$8-SUMIFS($F$2:F111,$D$2:D111,D111))</f>
        <v/>
      </c>
      <c r="J111" s="8">
        <f>IF(A111="","",IF(E111="",1E+99,IFERROR(VLOOKUP(E111,Eingabe!$D$5:$E$44,2,FALSE),Eingabe!$B$9)))</f>
        <v/>
      </c>
      <c r="K111" s="8">
        <f>IF(A111="","",IF(E111="",1E+99,J111-SUMIFS($F$2:F111,$E$2:E111,E111)))</f>
        <v/>
      </c>
      <c r="L111" s="5">
        <f>IF(A111="","",IF(OR(H111&lt;0,I111&lt;0,K111&lt;0),"UNMOEGLICH","OK"))</f>
        <v/>
      </c>
    </row>
    <row r="112">
      <c r="A112" s="7">
        <f>IF(ROW()-1&lt;=Eingabe!$B$4-Eingabe!$B$3+1,Eingabe!$B$3+ROW()-2,"")</f>
        <v/>
      </c>
      <c r="B112" s="5">
        <f>IF(A112="","",TEXT(A112,"yyyy-mm-dd"))</f>
        <v/>
      </c>
      <c r="C112" s="5">
        <f>IF(A112="","",TEXT(A112,"ddd"))</f>
        <v/>
      </c>
      <c r="D112" s="5">
        <f>IF(A112="","",TEXT(A112,"yyyy-mm"))</f>
        <v/>
      </c>
      <c r="E112" s="5">
        <f>IF(A112="","",IF(A112&lt;Eingabe!$B$5,"",INT((A112-Eingabe!$B$5)/(Eingabe!$B$6*7))+1))</f>
        <v/>
      </c>
      <c r="F112" s="8">
        <f>IF(A112="","",SUMPRODUCT((Eingabe!$B$16:$B$165&lt;&gt;"")*(Eingabe!$J$16:$J$165)*--(A112&gt;=Eingabe!$G$16:$G$165)*--(A112&lt;=Eingabe!$H$16:$H$165)*--(WEEKDAY(A112,2)&lt;=5)))</f>
        <v/>
      </c>
      <c r="G112" s="8">
        <f>IF(A112="","",SUM($F$2:F112))</f>
        <v/>
      </c>
      <c r="H112" s="8">
        <f>IF(A112="","",Eingabe!$B$7-G112)</f>
        <v/>
      </c>
      <c r="I112" s="8">
        <f>IF(A112="","",Eingabe!$B$8-SUMIFS($F$2:F112,$D$2:D112,D112))</f>
        <v/>
      </c>
      <c r="J112" s="8">
        <f>IF(A112="","",IF(E112="",1E+99,IFERROR(VLOOKUP(E112,Eingabe!$D$5:$E$44,2,FALSE),Eingabe!$B$9)))</f>
        <v/>
      </c>
      <c r="K112" s="8">
        <f>IF(A112="","",IF(E112="",1E+99,J112-SUMIFS($F$2:F112,$E$2:E112,E112)))</f>
        <v/>
      </c>
      <c r="L112" s="5">
        <f>IF(A112="","",IF(OR(H112&lt;0,I112&lt;0,K112&lt;0),"UNMOEGLICH","OK"))</f>
        <v/>
      </c>
    </row>
    <row r="113">
      <c r="A113" s="7">
        <f>IF(ROW()-1&lt;=Eingabe!$B$4-Eingabe!$B$3+1,Eingabe!$B$3+ROW()-2,"")</f>
        <v/>
      </c>
      <c r="B113" s="5">
        <f>IF(A113="","",TEXT(A113,"yyyy-mm-dd"))</f>
        <v/>
      </c>
      <c r="C113" s="5">
        <f>IF(A113="","",TEXT(A113,"ddd"))</f>
        <v/>
      </c>
      <c r="D113" s="5">
        <f>IF(A113="","",TEXT(A113,"yyyy-mm"))</f>
        <v/>
      </c>
      <c r="E113" s="5">
        <f>IF(A113="","",IF(A113&lt;Eingabe!$B$5,"",INT((A113-Eingabe!$B$5)/(Eingabe!$B$6*7))+1))</f>
        <v/>
      </c>
      <c r="F113" s="8">
        <f>IF(A113="","",SUMPRODUCT((Eingabe!$B$16:$B$165&lt;&gt;"")*(Eingabe!$J$16:$J$165)*--(A113&gt;=Eingabe!$G$16:$G$165)*--(A113&lt;=Eingabe!$H$16:$H$165)*--(WEEKDAY(A113,2)&lt;=5)))</f>
        <v/>
      </c>
      <c r="G113" s="8">
        <f>IF(A113="","",SUM($F$2:F113))</f>
        <v/>
      </c>
      <c r="H113" s="8">
        <f>IF(A113="","",Eingabe!$B$7-G113)</f>
        <v/>
      </c>
      <c r="I113" s="8">
        <f>IF(A113="","",Eingabe!$B$8-SUMIFS($F$2:F113,$D$2:D113,D113))</f>
        <v/>
      </c>
      <c r="J113" s="8">
        <f>IF(A113="","",IF(E113="",1E+99,IFERROR(VLOOKUP(E113,Eingabe!$D$5:$E$44,2,FALSE),Eingabe!$B$9)))</f>
        <v/>
      </c>
      <c r="K113" s="8">
        <f>IF(A113="","",IF(E113="",1E+99,J113-SUMIFS($F$2:F113,$E$2:E113,E113)))</f>
        <v/>
      </c>
      <c r="L113" s="5">
        <f>IF(A113="","",IF(OR(H113&lt;0,I113&lt;0,K113&lt;0),"UNMOEGLICH","OK"))</f>
        <v/>
      </c>
    </row>
    <row r="114">
      <c r="A114" s="7">
        <f>IF(ROW()-1&lt;=Eingabe!$B$4-Eingabe!$B$3+1,Eingabe!$B$3+ROW()-2,"")</f>
        <v/>
      </c>
      <c r="B114" s="5">
        <f>IF(A114="","",TEXT(A114,"yyyy-mm-dd"))</f>
        <v/>
      </c>
      <c r="C114" s="5">
        <f>IF(A114="","",TEXT(A114,"ddd"))</f>
        <v/>
      </c>
      <c r="D114" s="5">
        <f>IF(A114="","",TEXT(A114,"yyyy-mm"))</f>
        <v/>
      </c>
      <c r="E114" s="5">
        <f>IF(A114="","",IF(A114&lt;Eingabe!$B$5,"",INT((A114-Eingabe!$B$5)/(Eingabe!$B$6*7))+1))</f>
        <v/>
      </c>
      <c r="F114" s="8">
        <f>IF(A114="","",SUMPRODUCT((Eingabe!$B$16:$B$165&lt;&gt;"")*(Eingabe!$J$16:$J$165)*--(A114&gt;=Eingabe!$G$16:$G$165)*--(A114&lt;=Eingabe!$H$16:$H$165)*--(WEEKDAY(A114,2)&lt;=5)))</f>
        <v/>
      </c>
      <c r="G114" s="8">
        <f>IF(A114="","",SUM($F$2:F114))</f>
        <v/>
      </c>
      <c r="H114" s="8">
        <f>IF(A114="","",Eingabe!$B$7-G114)</f>
        <v/>
      </c>
      <c r="I114" s="8">
        <f>IF(A114="","",Eingabe!$B$8-SUMIFS($F$2:F114,$D$2:D114,D114))</f>
        <v/>
      </c>
      <c r="J114" s="8">
        <f>IF(A114="","",IF(E114="",1E+99,IFERROR(VLOOKUP(E114,Eingabe!$D$5:$E$44,2,FALSE),Eingabe!$B$9)))</f>
        <v/>
      </c>
      <c r="K114" s="8">
        <f>IF(A114="","",IF(E114="",1E+99,J114-SUMIFS($F$2:F114,$E$2:E114,E114)))</f>
        <v/>
      </c>
      <c r="L114" s="5">
        <f>IF(A114="","",IF(OR(H114&lt;0,I114&lt;0,K114&lt;0),"UNMOEGLICH","OK"))</f>
        <v/>
      </c>
    </row>
    <row r="115">
      <c r="A115" s="7">
        <f>IF(ROW()-1&lt;=Eingabe!$B$4-Eingabe!$B$3+1,Eingabe!$B$3+ROW()-2,"")</f>
        <v/>
      </c>
      <c r="B115" s="5">
        <f>IF(A115="","",TEXT(A115,"yyyy-mm-dd"))</f>
        <v/>
      </c>
      <c r="C115" s="5">
        <f>IF(A115="","",TEXT(A115,"ddd"))</f>
        <v/>
      </c>
      <c r="D115" s="5">
        <f>IF(A115="","",TEXT(A115,"yyyy-mm"))</f>
        <v/>
      </c>
      <c r="E115" s="5">
        <f>IF(A115="","",IF(A115&lt;Eingabe!$B$5,"",INT((A115-Eingabe!$B$5)/(Eingabe!$B$6*7))+1))</f>
        <v/>
      </c>
      <c r="F115" s="8">
        <f>IF(A115="","",SUMPRODUCT((Eingabe!$B$16:$B$165&lt;&gt;"")*(Eingabe!$J$16:$J$165)*--(A115&gt;=Eingabe!$G$16:$G$165)*--(A115&lt;=Eingabe!$H$16:$H$165)*--(WEEKDAY(A115,2)&lt;=5)))</f>
        <v/>
      </c>
      <c r="G115" s="8">
        <f>IF(A115="","",SUM($F$2:F115))</f>
        <v/>
      </c>
      <c r="H115" s="8">
        <f>IF(A115="","",Eingabe!$B$7-G115)</f>
        <v/>
      </c>
      <c r="I115" s="8">
        <f>IF(A115="","",Eingabe!$B$8-SUMIFS($F$2:F115,$D$2:D115,D115))</f>
        <v/>
      </c>
      <c r="J115" s="8">
        <f>IF(A115="","",IF(E115="",1E+99,IFERROR(VLOOKUP(E115,Eingabe!$D$5:$E$44,2,FALSE),Eingabe!$B$9)))</f>
        <v/>
      </c>
      <c r="K115" s="8">
        <f>IF(A115="","",IF(E115="",1E+99,J115-SUMIFS($F$2:F115,$E$2:E115,E115)))</f>
        <v/>
      </c>
      <c r="L115" s="5">
        <f>IF(A115="","",IF(OR(H115&lt;0,I115&lt;0,K115&lt;0),"UNMOEGLICH","OK"))</f>
        <v/>
      </c>
    </row>
    <row r="116">
      <c r="A116" s="7">
        <f>IF(ROW()-1&lt;=Eingabe!$B$4-Eingabe!$B$3+1,Eingabe!$B$3+ROW()-2,"")</f>
        <v/>
      </c>
      <c r="B116" s="5">
        <f>IF(A116="","",TEXT(A116,"yyyy-mm-dd"))</f>
        <v/>
      </c>
      <c r="C116" s="5">
        <f>IF(A116="","",TEXT(A116,"ddd"))</f>
        <v/>
      </c>
      <c r="D116" s="5">
        <f>IF(A116="","",TEXT(A116,"yyyy-mm"))</f>
        <v/>
      </c>
      <c r="E116" s="5">
        <f>IF(A116="","",IF(A116&lt;Eingabe!$B$5,"",INT((A116-Eingabe!$B$5)/(Eingabe!$B$6*7))+1))</f>
        <v/>
      </c>
      <c r="F116" s="8">
        <f>IF(A116="","",SUMPRODUCT((Eingabe!$B$16:$B$165&lt;&gt;"")*(Eingabe!$J$16:$J$165)*--(A116&gt;=Eingabe!$G$16:$G$165)*--(A116&lt;=Eingabe!$H$16:$H$165)*--(WEEKDAY(A116,2)&lt;=5)))</f>
        <v/>
      </c>
      <c r="G116" s="8">
        <f>IF(A116="","",SUM($F$2:F116))</f>
        <v/>
      </c>
      <c r="H116" s="8">
        <f>IF(A116="","",Eingabe!$B$7-G116)</f>
        <v/>
      </c>
      <c r="I116" s="8">
        <f>IF(A116="","",Eingabe!$B$8-SUMIFS($F$2:F116,$D$2:D116,D116))</f>
        <v/>
      </c>
      <c r="J116" s="8">
        <f>IF(A116="","",IF(E116="",1E+99,IFERROR(VLOOKUP(E116,Eingabe!$D$5:$E$44,2,FALSE),Eingabe!$B$9)))</f>
        <v/>
      </c>
      <c r="K116" s="8">
        <f>IF(A116="","",IF(E116="",1E+99,J116-SUMIFS($F$2:F116,$E$2:E116,E116)))</f>
        <v/>
      </c>
      <c r="L116" s="5">
        <f>IF(A116="","",IF(OR(H116&lt;0,I116&lt;0,K116&lt;0),"UNMOEGLICH","OK"))</f>
        <v/>
      </c>
    </row>
    <row r="117">
      <c r="A117" s="7">
        <f>IF(ROW()-1&lt;=Eingabe!$B$4-Eingabe!$B$3+1,Eingabe!$B$3+ROW()-2,"")</f>
        <v/>
      </c>
      <c r="B117" s="5">
        <f>IF(A117="","",TEXT(A117,"yyyy-mm-dd"))</f>
        <v/>
      </c>
      <c r="C117" s="5">
        <f>IF(A117="","",TEXT(A117,"ddd"))</f>
        <v/>
      </c>
      <c r="D117" s="5">
        <f>IF(A117="","",TEXT(A117,"yyyy-mm"))</f>
        <v/>
      </c>
      <c r="E117" s="5">
        <f>IF(A117="","",IF(A117&lt;Eingabe!$B$5,"",INT((A117-Eingabe!$B$5)/(Eingabe!$B$6*7))+1))</f>
        <v/>
      </c>
      <c r="F117" s="8">
        <f>IF(A117="","",SUMPRODUCT((Eingabe!$B$16:$B$165&lt;&gt;"")*(Eingabe!$J$16:$J$165)*--(A117&gt;=Eingabe!$G$16:$G$165)*--(A117&lt;=Eingabe!$H$16:$H$165)*--(WEEKDAY(A117,2)&lt;=5)))</f>
        <v/>
      </c>
      <c r="G117" s="8">
        <f>IF(A117="","",SUM($F$2:F117))</f>
        <v/>
      </c>
      <c r="H117" s="8">
        <f>IF(A117="","",Eingabe!$B$7-G117)</f>
        <v/>
      </c>
      <c r="I117" s="8">
        <f>IF(A117="","",Eingabe!$B$8-SUMIFS($F$2:F117,$D$2:D117,D117))</f>
        <v/>
      </c>
      <c r="J117" s="8">
        <f>IF(A117="","",IF(E117="",1E+99,IFERROR(VLOOKUP(E117,Eingabe!$D$5:$E$44,2,FALSE),Eingabe!$B$9)))</f>
        <v/>
      </c>
      <c r="K117" s="8">
        <f>IF(A117="","",IF(E117="",1E+99,J117-SUMIFS($F$2:F117,$E$2:E117,E117)))</f>
        <v/>
      </c>
      <c r="L117" s="5">
        <f>IF(A117="","",IF(OR(H117&lt;0,I117&lt;0,K117&lt;0),"UNMOEGLICH","OK"))</f>
        <v/>
      </c>
    </row>
    <row r="118">
      <c r="A118" s="7">
        <f>IF(ROW()-1&lt;=Eingabe!$B$4-Eingabe!$B$3+1,Eingabe!$B$3+ROW()-2,"")</f>
        <v/>
      </c>
      <c r="B118" s="5">
        <f>IF(A118="","",TEXT(A118,"yyyy-mm-dd"))</f>
        <v/>
      </c>
      <c r="C118" s="5">
        <f>IF(A118="","",TEXT(A118,"ddd"))</f>
        <v/>
      </c>
      <c r="D118" s="5">
        <f>IF(A118="","",TEXT(A118,"yyyy-mm"))</f>
        <v/>
      </c>
      <c r="E118" s="5">
        <f>IF(A118="","",IF(A118&lt;Eingabe!$B$5,"",INT((A118-Eingabe!$B$5)/(Eingabe!$B$6*7))+1))</f>
        <v/>
      </c>
      <c r="F118" s="8">
        <f>IF(A118="","",SUMPRODUCT((Eingabe!$B$16:$B$165&lt;&gt;"")*(Eingabe!$J$16:$J$165)*--(A118&gt;=Eingabe!$G$16:$G$165)*--(A118&lt;=Eingabe!$H$16:$H$165)*--(WEEKDAY(A118,2)&lt;=5)))</f>
        <v/>
      </c>
      <c r="G118" s="8">
        <f>IF(A118="","",SUM($F$2:F118))</f>
        <v/>
      </c>
      <c r="H118" s="8">
        <f>IF(A118="","",Eingabe!$B$7-G118)</f>
        <v/>
      </c>
      <c r="I118" s="8">
        <f>IF(A118="","",Eingabe!$B$8-SUMIFS($F$2:F118,$D$2:D118,D118))</f>
        <v/>
      </c>
      <c r="J118" s="8">
        <f>IF(A118="","",IF(E118="",1E+99,IFERROR(VLOOKUP(E118,Eingabe!$D$5:$E$44,2,FALSE),Eingabe!$B$9)))</f>
        <v/>
      </c>
      <c r="K118" s="8">
        <f>IF(A118="","",IF(E118="",1E+99,J118-SUMIFS($F$2:F118,$E$2:E118,E118)))</f>
        <v/>
      </c>
      <c r="L118" s="5">
        <f>IF(A118="","",IF(OR(H118&lt;0,I118&lt;0,K118&lt;0),"UNMOEGLICH","OK"))</f>
        <v/>
      </c>
    </row>
    <row r="119">
      <c r="A119" s="7">
        <f>IF(ROW()-1&lt;=Eingabe!$B$4-Eingabe!$B$3+1,Eingabe!$B$3+ROW()-2,"")</f>
        <v/>
      </c>
      <c r="B119" s="5">
        <f>IF(A119="","",TEXT(A119,"yyyy-mm-dd"))</f>
        <v/>
      </c>
      <c r="C119" s="5">
        <f>IF(A119="","",TEXT(A119,"ddd"))</f>
        <v/>
      </c>
      <c r="D119" s="5">
        <f>IF(A119="","",TEXT(A119,"yyyy-mm"))</f>
        <v/>
      </c>
      <c r="E119" s="5">
        <f>IF(A119="","",IF(A119&lt;Eingabe!$B$5,"",INT((A119-Eingabe!$B$5)/(Eingabe!$B$6*7))+1))</f>
        <v/>
      </c>
      <c r="F119" s="8">
        <f>IF(A119="","",SUMPRODUCT((Eingabe!$B$16:$B$165&lt;&gt;"")*(Eingabe!$J$16:$J$165)*--(A119&gt;=Eingabe!$G$16:$G$165)*--(A119&lt;=Eingabe!$H$16:$H$165)*--(WEEKDAY(A119,2)&lt;=5)))</f>
        <v/>
      </c>
      <c r="G119" s="8">
        <f>IF(A119="","",SUM($F$2:F119))</f>
        <v/>
      </c>
      <c r="H119" s="8">
        <f>IF(A119="","",Eingabe!$B$7-G119)</f>
        <v/>
      </c>
      <c r="I119" s="8">
        <f>IF(A119="","",Eingabe!$B$8-SUMIFS($F$2:F119,$D$2:D119,D119))</f>
        <v/>
      </c>
      <c r="J119" s="8">
        <f>IF(A119="","",IF(E119="",1E+99,IFERROR(VLOOKUP(E119,Eingabe!$D$5:$E$44,2,FALSE),Eingabe!$B$9)))</f>
        <v/>
      </c>
      <c r="K119" s="8">
        <f>IF(A119="","",IF(E119="",1E+99,J119-SUMIFS($F$2:F119,$E$2:E119,E119)))</f>
        <v/>
      </c>
      <c r="L119" s="5">
        <f>IF(A119="","",IF(OR(H119&lt;0,I119&lt;0,K119&lt;0),"UNMOEGLICH","OK"))</f>
        <v/>
      </c>
    </row>
    <row r="120">
      <c r="A120" s="7">
        <f>IF(ROW()-1&lt;=Eingabe!$B$4-Eingabe!$B$3+1,Eingabe!$B$3+ROW()-2,"")</f>
        <v/>
      </c>
      <c r="B120" s="5">
        <f>IF(A120="","",TEXT(A120,"yyyy-mm-dd"))</f>
        <v/>
      </c>
      <c r="C120" s="5">
        <f>IF(A120="","",TEXT(A120,"ddd"))</f>
        <v/>
      </c>
      <c r="D120" s="5">
        <f>IF(A120="","",TEXT(A120,"yyyy-mm"))</f>
        <v/>
      </c>
      <c r="E120" s="5">
        <f>IF(A120="","",IF(A120&lt;Eingabe!$B$5,"",INT((A120-Eingabe!$B$5)/(Eingabe!$B$6*7))+1))</f>
        <v/>
      </c>
      <c r="F120" s="8">
        <f>IF(A120="","",SUMPRODUCT((Eingabe!$B$16:$B$165&lt;&gt;"")*(Eingabe!$J$16:$J$165)*--(A120&gt;=Eingabe!$G$16:$G$165)*--(A120&lt;=Eingabe!$H$16:$H$165)*--(WEEKDAY(A120,2)&lt;=5)))</f>
        <v/>
      </c>
      <c r="G120" s="8">
        <f>IF(A120="","",SUM($F$2:F120))</f>
        <v/>
      </c>
      <c r="H120" s="8">
        <f>IF(A120="","",Eingabe!$B$7-G120)</f>
        <v/>
      </c>
      <c r="I120" s="8">
        <f>IF(A120="","",Eingabe!$B$8-SUMIFS($F$2:F120,$D$2:D120,D120))</f>
        <v/>
      </c>
      <c r="J120" s="8">
        <f>IF(A120="","",IF(E120="",1E+99,IFERROR(VLOOKUP(E120,Eingabe!$D$5:$E$44,2,FALSE),Eingabe!$B$9)))</f>
        <v/>
      </c>
      <c r="K120" s="8">
        <f>IF(A120="","",IF(E120="",1E+99,J120-SUMIFS($F$2:F120,$E$2:E120,E120)))</f>
        <v/>
      </c>
      <c r="L120" s="5">
        <f>IF(A120="","",IF(OR(H120&lt;0,I120&lt;0,K120&lt;0),"UNMOEGLICH","OK"))</f>
        <v/>
      </c>
    </row>
    <row r="121">
      <c r="A121" s="7">
        <f>IF(ROW()-1&lt;=Eingabe!$B$4-Eingabe!$B$3+1,Eingabe!$B$3+ROW()-2,"")</f>
        <v/>
      </c>
      <c r="B121" s="5">
        <f>IF(A121="","",TEXT(A121,"yyyy-mm-dd"))</f>
        <v/>
      </c>
      <c r="C121" s="5">
        <f>IF(A121="","",TEXT(A121,"ddd"))</f>
        <v/>
      </c>
      <c r="D121" s="5">
        <f>IF(A121="","",TEXT(A121,"yyyy-mm"))</f>
        <v/>
      </c>
      <c r="E121" s="5">
        <f>IF(A121="","",IF(A121&lt;Eingabe!$B$5,"",INT((A121-Eingabe!$B$5)/(Eingabe!$B$6*7))+1))</f>
        <v/>
      </c>
      <c r="F121" s="8">
        <f>IF(A121="","",SUMPRODUCT((Eingabe!$B$16:$B$165&lt;&gt;"")*(Eingabe!$J$16:$J$165)*--(A121&gt;=Eingabe!$G$16:$G$165)*--(A121&lt;=Eingabe!$H$16:$H$165)*--(WEEKDAY(A121,2)&lt;=5)))</f>
        <v/>
      </c>
      <c r="G121" s="8">
        <f>IF(A121="","",SUM($F$2:F121))</f>
        <v/>
      </c>
      <c r="H121" s="8">
        <f>IF(A121="","",Eingabe!$B$7-G121)</f>
        <v/>
      </c>
      <c r="I121" s="8">
        <f>IF(A121="","",Eingabe!$B$8-SUMIFS($F$2:F121,$D$2:D121,D121))</f>
        <v/>
      </c>
      <c r="J121" s="8">
        <f>IF(A121="","",IF(E121="",1E+99,IFERROR(VLOOKUP(E121,Eingabe!$D$5:$E$44,2,FALSE),Eingabe!$B$9)))</f>
        <v/>
      </c>
      <c r="K121" s="8">
        <f>IF(A121="","",IF(E121="",1E+99,J121-SUMIFS($F$2:F121,$E$2:E121,E121)))</f>
        <v/>
      </c>
      <c r="L121" s="5">
        <f>IF(A121="","",IF(OR(H121&lt;0,I121&lt;0,K121&lt;0),"UNMOEGLICH","OK"))</f>
        <v/>
      </c>
    </row>
    <row r="122">
      <c r="A122" s="7">
        <f>IF(ROW()-1&lt;=Eingabe!$B$4-Eingabe!$B$3+1,Eingabe!$B$3+ROW()-2,"")</f>
        <v/>
      </c>
      <c r="B122" s="5">
        <f>IF(A122="","",TEXT(A122,"yyyy-mm-dd"))</f>
        <v/>
      </c>
      <c r="C122" s="5">
        <f>IF(A122="","",TEXT(A122,"ddd"))</f>
        <v/>
      </c>
      <c r="D122" s="5">
        <f>IF(A122="","",TEXT(A122,"yyyy-mm"))</f>
        <v/>
      </c>
      <c r="E122" s="5">
        <f>IF(A122="","",IF(A122&lt;Eingabe!$B$5,"",INT((A122-Eingabe!$B$5)/(Eingabe!$B$6*7))+1))</f>
        <v/>
      </c>
      <c r="F122" s="8">
        <f>IF(A122="","",SUMPRODUCT((Eingabe!$B$16:$B$165&lt;&gt;"")*(Eingabe!$J$16:$J$165)*--(A122&gt;=Eingabe!$G$16:$G$165)*--(A122&lt;=Eingabe!$H$16:$H$165)*--(WEEKDAY(A122,2)&lt;=5)))</f>
        <v/>
      </c>
      <c r="G122" s="8">
        <f>IF(A122="","",SUM($F$2:F122))</f>
        <v/>
      </c>
      <c r="H122" s="8">
        <f>IF(A122="","",Eingabe!$B$7-G122)</f>
        <v/>
      </c>
      <c r="I122" s="8">
        <f>IF(A122="","",Eingabe!$B$8-SUMIFS($F$2:F122,$D$2:D122,D122))</f>
        <v/>
      </c>
      <c r="J122" s="8">
        <f>IF(A122="","",IF(E122="",1E+99,IFERROR(VLOOKUP(E122,Eingabe!$D$5:$E$44,2,FALSE),Eingabe!$B$9)))</f>
        <v/>
      </c>
      <c r="K122" s="8">
        <f>IF(A122="","",IF(E122="",1E+99,J122-SUMIFS($F$2:F122,$E$2:E122,E122)))</f>
        <v/>
      </c>
      <c r="L122" s="5">
        <f>IF(A122="","",IF(OR(H122&lt;0,I122&lt;0,K122&lt;0),"UNMOEGLICH","OK"))</f>
        <v/>
      </c>
    </row>
    <row r="123">
      <c r="A123" s="7">
        <f>IF(ROW()-1&lt;=Eingabe!$B$4-Eingabe!$B$3+1,Eingabe!$B$3+ROW()-2,"")</f>
        <v/>
      </c>
      <c r="B123" s="5">
        <f>IF(A123="","",TEXT(A123,"yyyy-mm-dd"))</f>
        <v/>
      </c>
      <c r="C123" s="5">
        <f>IF(A123="","",TEXT(A123,"ddd"))</f>
        <v/>
      </c>
      <c r="D123" s="5">
        <f>IF(A123="","",TEXT(A123,"yyyy-mm"))</f>
        <v/>
      </c>
      <c r="E123" s="5">
        <f>IF(A123="","",IF(A123&lt;Eingabe!$B$5,"",INT((A123-Eingabe!$B$5)/(Eingabe!$B$6*7))+1))</f>
        <v/>
      </c>
      <c r="F123" s="8">
        <f>IF(A123="","",SUMPRODUCT((Eingabe!$B$16:$B$165&lt;&gt;"")*(Eingabe!$J$16:$J$165)*--(A123&gt;=Eingabe!$G$16:$G$165)*--(A123&lt;=Eingabe!$H$16:$H$165)*--(WEEKDAY(A123,2)&lt;=5)))</f>
        <v/>
      </c>
      <c r="G123" s="8">
        <f>IF(A123="","",SUM($F$2:F123))</f>
        <v/>
      </c>
      <c r="H123" s="8">
        <f>IF(A123="","",Eingabe!$B$7-G123)</f>
        <v/>
      </c>
      <c r="I123" s="8">
        <f>IF(A123="","",Eingabe!$B$8-SUMIFS($F$2:F123,$D$2:D123,D123))</f>
        <v/>
      </c>
      <c r="J123" s="8">
        <f>IF(A123="","",IF(E123="",1E+99,IFERROR(VLOOKUP(E123,Eingabe!$D$5:$E$44,2,FALSE),Eingabe!$B$9)))</f>
        <v/>
      </c>
      <c r="K123" s="8">
        <f>IF(A123="","",IF(E123="",1E+99,J123-SUMIFS($F$2:F123,$E$2:E123,E123)))</f>
        <v/>
      </c>
      <c r="L123" s="5">
        <f>IF(A123="","",IF(OR(H123&lt;0,I123&lt;0,K123&lt;0),"UNMOEGLICH","OK"))</f>
        <v/>
      </c>
    </row>
    <row r="124">
      <c r="A124" s="7">
        <f>IF(ROW()-1&lt;=Eingabe!$B$4-Eingabe!$B$3+1,Eingabe!$B$3+ROW()-2,"")</f>
        <v/>
      </c>
      <c r="B124" s="5">
        <f>IF(A124="","",TEXT(A124,"yyyy-mm-dd"))</f>
        <v/>
      </c>
      <c r="C124" s="5">
        <f>IF(A124="","",TEXT(A124,"ddd"))</f>
        <v/>
      </c>
      <c r="D124" s="5">
        <f>IF(A124="","",TEXT(A124,"yyyy-mm"))</f>
        <v/>
      </c>
      <c r="E124" s="5">
        <f>IF(A124="","",IF(A124&lt;Eingabe!$B$5,"",INT((A124-Eingabe!$B$5)/(Eingabe!$B$6*7))+1))</f>
        <v/>
      </c>
      <c r="F124" s="8">
        <f>IF(A124="","",SUMPRODUCT((Eingabe!$B$16:$B$165&lt;&gt;"")*(Eingabe!$J$16:$J$165)*--(A124&gt;=Eingabe!$G$16:$G$165)*--(A124&lt;=Eingabe!$H$16:$H$165)*--(WEEKDAY(A124,2)&lt;=5)))</f>
        <v/>
      </c>
      <c r="G124" s="8">
        <f>IF(A124="","",SUM($F$2:F124))</f>
        <v/>
      </c>
      <c r="H124" s="8">
        <f>IF(A124="","",Eingabe!$B$7-G124)</f>
        <v/>
      </c>
      <c r="I124" s="8">
        <f>IF(A124="","",Eingabe!$B$8-SUMIFS($F$2:F124,$D$2:D124,D124))</f>
        <v/>
      </c>
      <c r="J124" s="8">
        <f>IF(A124="","",IF(E124="",1E+99,IFERROR(VLOOKUP(E124,Eingabe!$D$5:$E$44,2,FALSE),Eingabe!$B$9)))</f>
        <v/>
      </c>
      <c r="K124" s="8">
        <f>IF(A124="","",IF(E124="",1E+99,J124-SUMIFS($F$2:F124,$E$2:E124,E124)))</f>
        <v/>
      </c>
      <c r="L124" s="5">
        <f>IF(A124="","",IF(OR(H124&lt;0,I124&lt;0,K124&lt;0),"UNMOEGLICH","OK"))</f>
        <v/>
      </c>
    </row>
    <row r="125">
      <c r="A125" s="7">
        <f>IF(ROW()-1&lt;=Eingabe!$B$4-Eingabe!$B$3+1,Eingabe!$B$3+ROW()-2,"")</f>
        <v/>
      </c>
      <c r="B125" s="5">
        <f>IF(A125="","",TEXT(A125,"yyyy-mm-dd"))</f>
        <v/>
      </c>
      <c r="C125" s="5">
        <f>IF(A125="","",TEXT(A125,"ddd"))</f>
        <v/>
      </c>
      <c r="D125" s="5">
        <f>IF(A125="","",TEXT(A125,"yyyy-mm"))</f>
        <v/>
      </c>
      <c r="E125" s="5">
        <f>IF(A125="","",IF(A125&lt;Eingabe!$B$5,"",INT((A125-Eingabe!$B$5)/(Eingabe!$B$6*7))+1))</f>
        <v/>
      </c>
      <c r="F125" s="8">
        <f>IF(A125="","",SUMPRODUCT((Eingabe!$B$16:$B$165&lt;&gt;"")*(Eingabe!$J$16:$J$165)*--(A125&gt;=Eingabe!$G$16:$G$165)*--(A125&lt;=Eingabe!$H$16:$H$165)*--(WEEKDAY(A125,2)&lt;=5)))</f>
        <v/>
      </c>
      <c r="G125" s="8">
        <f>IF(A125="","",SUM($F$2:F125))</f>
        <v/>
      </c>
      <c r="H125" s="8">
        <f>IF(A125="","",Eingabe!$B$7-G125)</f>
        <v/>
      </c>
      <c r="I125" s="8">
        <f>IF(A125="","",Eingabe!$B$8-SUMIFS($F$2:F125,$D$2:D125,D125))</f>
        <v/>
      </c>
      <c r="J125" s="8">
        <f>IF(A125="","",IF(E125="",1E+99,IFERROR(VLOOKUP(E125,Eingabe!$D$5:$E$44,2,FALSE),Eingabe!$B$9)))</f>
        <v/>
      </c>
      <c r="K125" s="8">
        <f>IF(A125="","",IF(E125="",1E+99,J125-SUMIFS($F$2:F125,$E$2:E125,E125)))</f>
        <v/>
      </c>
      <c r="L125" s="5">
        <f>IF(A125="","",IF(OR(H125&lt;0,I125&lt;0,K125&lt;0),"UNMOEGLICH","OK"))</f>
        <v/>
      </c>
    </row>
    <row r="126">
      <c r="A126" s="7">
        <f>IF(ROW()-1&lt;=Eingabe!$B$4-Eingabe!$B$3+1,Eingabe!$B$3+ROW()-2,"")</f>
        <v/>
      </c>
      <c r="B126" s="5">
        <f>IF(A126="","",TEXT(A126,"yyyy-mm-dd"))</f>
        <v/>
      </c>
      <c r="C126" s="5">
        <f>IF(A126="","",TEXT(A126,"ddd"))</f>
        <v/>
      </c>
      <c r="D126" s="5">
        <f>IF(A126="","",TEXT(A126,"yyyy-mm"))</f>
        <v/>
      </c>
      <c r="E126" s="5">
        <f>IF(A126="","",IF(A126&lt;Eingabe!$B$5,"",INT((A126-Eingabe!$B$5)/(Eingabe!$B$6*7))+1))</f>
        <v/>
      </c>
      <c r="F126" s="8">
        <f>IF(A126="","",SUMPRODUCT((Eingabe!$B$16:$B$165&lt;&gt;"")*(Eingabe!$J$16:$J$165)*--(A126&gt;=Eingabe!$G$16:$G$165)*--(A126&lt;=Eingabe!$H$16:$H$165)*--(WEEKDAY(A126,2)&lt;=5)))</f>
        <v/>
      </c>
      <c r="G126" s="8">
        <f>IF(A126="","",SUM($F$2:F126))</f>
        <v/>
      </c>
      <c r="H126" s="8">
        <f>IF(A126="","",Eingabe!$B$7-G126)</f>
        <v/>
      </c>
      <c r="I126" s="8">
        <f>IF(A126="","",Eingabe!$B$8-SUMIFS($F$2:F126,$D$2:D126,D126))</f>
        <v/>
      </c>
      <c r="J126" s="8">
        <f>IF(A126="","",IF(E126="",1E+99,IFERROR(VLOOKUP(E126,Eingabe!$D$5:$E$44,2,FALSE),Eingabe!$B$9)))</f>
        <v/>
      </c>
      <c r="K126" s="8">
        <f>IF(A126="","",IF(E126="",1E+99,J126-SUMIFS($F$2:F126,$E$2:E126,E126)))</f>
        <v/>
      </c>
      <c r="L126" s="5">
        <f>IF(A126="","",IF(OR(H126&lt;0,I126&lt;0,K126&lt;0),"UNMOEGLICH","OK"))</f>
        <v/>
      </c>
    </row>
    <row r="127">
      <c r="A127" s="7">
        <f>IF(ROW()-1&lt;=Eingabe!$B$4-Eingabe!$B$3+1,Eingabe!$B$3+ROW()-2,"")</f>
        <v/>
      </c>
      <c r="B127" s="5">
        <f>IF(A127="","",TEXT(A127,"yyyy-mm-dd"))</f>
        <v/>
      </c>
      <c r="C127" s="5">
        <f>IF(A127="","",TEXT(A127,"ddd"))</f>
        <v/>
      </c>
      <c r="D127" s="5">
        <f>IF(A127="","",TEXT(A127,"yyyy-mm"))</f>
        <v/>
      </c>
      <c r="E127" s="5">
        <f>IF(A127="","",IF(A127&lt;Eingabe!$B$5,"",INT((A127-Eingabe!$B$5)/(Eingabe!$B$6*7))+1))</f>
        <v/>
      </c>
      <c r="F127" s="8">
        <f>IF(A127="","",SUMPRODUCT((Eingabe!$B$16:$B$165&lt;&gt;"")*(Eingabe!$J$16:$J$165)*--(A127&gt;=Eingabe!$G$16:$G$165)*--(A127&lt;=Eingabe!$H$16:$H$165)*--(WEEKDAY(A127,2)&lt;=5)))</f>
        <v/>
      </c>
      <c r="G127" s="8">
        <f>IF(A127="","",SUM($F$2:F127))</f>
        <v/>
      </c>
      <c r="H127" s="8">
        <f>IF(A127="","",Eingabe!$B$7-G127)</f>
        <v/>
      </c>
      <c r="I127" s="8">
        <f>IF(A127="","",Eingabe!$B$8-SUMIFS($F$2:F127,$D$2:D127,D127))</f>
        <v/>
      </c>
      <c r="J127" s="8">
        <f>IF(A127="","",IF(E127="",1E+99,IFERROR(VLOOKUP(E127,Eingabe!$D$5:$E$44,2,FALSE),Eingabe!$B$9)))</f>
        <v/>
      </c>
      <c r="K127" s="8">
        <f>IF(A127="","",IF(E127="",1E+99,J127-SUMIFS($F$2:F127,$E$2:E127,E127)))</f>
        <v/>
      </c>
      <c r="L127" s="5">
        <f>IF(A127="","",IF(OR(H127&lt;0,I127&lt;0,K127&lt;0),"UNMOEGLICH","OK"))</f>
        <v/>
      </c>
    </row>
    <row r="128">
      <c r="A128" s="7">
        <f>IF(ROW()-1&lt;=Eingabe!$B$4-Eingabe!$B$3+1,Eingabe!$B$3+ROW()-2,"")</f>
        <v/>
      </c>
      <c r="B128" s="5">
        <f>IF(A128="","",TEXT(A128,"yyyy-mm-dd"))</f>
        <v/>
      </c>
      <c r="C128" s="5">
        <f>IF(A128="","",TEXT(A128,"ddd"))</f>
        <v/>
      </c>
      <c r="D128" s="5">
        <f>IF(A128="","",TEXT(A128,"yyyy-mm"))</f>
        <v/>
      </c>
      <c r="E128" s="5">
        <f>IF(A128="","",IF(A128&lt;Eingabe!$B$5,"",INT((A128-Eingabe!$B$5)/(Eingabe!$B$6*7))+1))</f>
        <v/>
      </c>
      <c r="F128" s="8">
        <f>IF(A128="","",SUMPRODUCT((Eingabe!$B$16:$B$165&lt;&gt;"")*(Eingabe!$J$16:$J$165)*--(A128&gt;=Eingabe!$G$16:$G$165)*--(A128&lt;=Eingabe!$H$16:$H$165)*--(WEEKDAY(A128,2)&lt;=5)))</f>
        <v/>
      </c>
      <c r="G128" s="8">
        <f>IF(A128="","",SUM($F$2:F128))</f>
        <v/>
      </c>
      <c r="H128" s="8">
        <f>IF(A128="","",Eingabe!$B$7-G128)</f>
        <v/>
      </c>
      <c r="I128" s="8">
        <f>IF(A128="","",Eingabe!$B$8-SUMIFS($F$2:F128,$D$2:D128,D128))</f>
        <v/>
      </c>
      <c r="J128" s="8">
        <f>IF(A128="","",IF(E128="",1E+99,IFERROR(VLOOKUP(E128,Eingabe!$D$5:$E$44,2,FALSE),Eingabe!$B$9)))</f>
        <v/>
      </c>
      <c r="K128" s="8">
        <f>IF(A128="","",IF(E128="",1E+99,J128-SUMIFS($F$2:F128,$E$2:E128,E128)))</f>
        <v/>
      </c>
      <c r="L128" s="5">
        <f>IF(A128="","",IF(OR(H128&lt;0,I128&lt;0,K128&lt;0),"UNMOEGLICH","OK"))</f>
        <v/>
      </c>
    </row>
    <row r="129">
      <c r="A129" s="7">
        <f>IF(ROW()-1&lt;=Eingabe!$B$4-Eingabe!$B$3+1,Eingabe!$B$3+ROW()-2,"")</f>
        <v/>
      </c>
      <c r="B129" s="5">
        <f>IF(A129="","",TEXT(A129,"yyyy-mm-dd"))</f>
        <v/>
      </c>
      <c r="C129" s="5">
        <f>IF(A129="","",TEXT(A129,"ddd"))</f>
        <v/>
      </c>
      <c r="D129" s="5">
        <f>IF(A129="","",TEXT(A129,"yyyy-mm"))</f>
        <v/>
      </c>
      <c r="E129" s="5">
        <f>IF(A129="","",IF(A129&lt;Eingabe!$B$5,"",INT((A129-Eingabe!$B$5)/(Eingabe!$B$6*7))+1))</f>
        <v/>
      </c>
      <c r="F129" s="8">
        <f>IF(A129="","",SUMPRODUCT((Eingabe!$B$16:$B$165&lt;&gt;"")*(Eingabe!$J$16:$J$165)*--(A129&gt;=Eingabe!$G$16:$G$165)*--(A129&lt;=Eingabe!$H$16:$H$165)*--(WEEKDAY(A129,2)&lt;=5)))</f>
        <v/>
      </c>
      <c r="G129" s="8">
        <f>IF(A129="","",SUM($F$2:F129))</f>
        <v/>
      </c>
      <c r="H129" s="8">
        <f>IF(A129="","",Eingabe!$B$7-G129)</f>
        <v/>
      </c>
      <c r="I129" s="8">
        <f>IF(A129="","",Eingabe!$B$8-SUMIFS($F$2:F129,$D$2:D129,D129))</f>
        <v/>
      </c>
      <c r="J129" s="8">
        <f>IF(A129="","",IF(E129="",1E+99,IFERROR(VLOOKUP(E129,Eingabe!$D$5:$E$44,2,FALSE),Eingabe!$B$9)))</f>
        <v/>
      </c>
      <c r="K129" s="8">
        <f>IF(A129="","",IF(E129="",1E+99,J129-SUMIFS($F$2:F129,$E$2:E129,E129)))</f>
        <v/>
      </c>
      <c r="L129" s="5">
        <f>IF(A129="","",IF(OR(H129&lt;0,I129&lt;0,K129&lt;0),"UNMOEGLICH","OK"))</f>
        <v/>
      </c>
    </row>
    <row r="130">
      <c r="A130" s="7">
        <f>IF(ROW()-1&lt;=Eingabe!$B$4-Eingabe!$B$3+1,Eingabe!$B$3+ROW()-2,"")</f>
        <v/>
      </c>
      <c r="B130" s="5">
        <f>IF(A130="","",TEXT(A130,"yyyy-mm-dd"))</f>
        <v/>
      </c>
      <c r="C130" s="5">
        <f>IF(A130="","",TEXT(A130,"ddd"))</f>
        <v/>
      </c>
      <c r="D130" s="5">
        <f>IF(A130="","",TEXT(A130,"yyyy-mm"))</f>
        <v/>
      </c>
      <c r="E130" s="5">
        <f>IF(A130="","",IF(A130&lt;Eingabe!$B$5,"",INT((A130-Eingabe!$B$5)/(Eingabe!$B$6*7))+1))</f>
        <v/>
      </c>
      <c r="F130" s="8">
        <f>IF(A130="","",SUMPRODUCT((Eingabe!$B$16:$B$165&lt;&gt;"")*(Eingabe!$J$16:$J$165)*--(A130&gt;=Eingabe!$G$16:$G$165)*--(A130&lt;=Eingabe!$H$16:$H$165)*--(WEEKDAY(A130,2)&lt;=5)))</f>
        <v/>
      </c>
      <c r="G130" s="8">
        <f>IF(A130="","",SUM($F$2:F130))</f>
        <v/>
      </c>
      <c r="H130" s="8">
        <f>IF(A130="","",Eingabe!$B$7-G130)</f>
        <v/>
      </c>
      <c r="I130" s="8">
        <f>IF(A130="","",Eingabe!$B$8-SUMIFS($F$2:F130,$D$2:D130,D130))</f>
        <v/>
      </c>
      <c r="J130" s="8">
        <f>IF(A130="","",IF(E130="",1E+99,IFERROR(VLOOKUP(E130,Eingabe!$D$5:$E$44,2,FALSE),Eingabe!$B$9)))</f>
        <v/>
      </c>
      <c r="K130" s="8">
        <f>IF(A130="","",IF(E130="",1E+99,J130-SUMIFS($F$2:F130,$E$2:E130,E130)))</f>
        <v/>
      </c>
      <c r="L130" s="5">
        <f>IF(A130="","",IF(OR(H130&lt;0,I130&lt;0,K130&lt;0),"UNMOEGLICH","OK"))</f>
        <v/>
      </c>
    </row>
    <row r="131">
      <c r="A131" s="7">
        <f>IF(ROW()-1&lt;=Eingabe!$B$4-Eingabe!$B$3+1,Eingabe!$B$3+ROW()-2,"")</f>
        <v/>
      </c>
      <c r="B131" s="5">
        <f>IF(A131="","",TEXT(A131,"yyyy-mm-dd"))</f>
        <v/>
      </c>
      <c r="C131" s="5">
        <f>IF(A131="","",TEXT(A131,"ddd"))</f>
        <v/>
      </c>
      <c r="D131" s="5">
        <f>IF(A131="","",TEXT(A131,"yyyy-mm"))</f>
        <v/>
      </c>
      <c r="E131" s="5">
        <f>IF(A131="","",IF(A131&lt;Eingabe!$B$5,"",INT((A131-Eingabe!$B$5)/(Eingabe!$B$6*7))+1))</f>
        <v/>
      </c>
      <c r="F131" s="8">
        <f>IF(A131="","",SUMPRODUCT((Eingabe!$B$16:$B$165&lt;&gt;"")*(Eingabe!$J$16:$J$165)*--(A131&gt;=Eingabe!$G$16:$G$165)*--(A131&lt;=Eingabe!$H$16:$H$165)*--(WEEKDAY(A131,2)&lt;=5)))</f>
        <v/>
      </c>
      <c r="G131" s="8">
        <f>IF(A131="","",SUM($F$2:F131))</f>
        <v/>
      </c>
      <c r="H131" s="8">
        <f>IF(A131="","",Eingabe!$B$7-G131)</f>
        <v/>
      </c>
      <c r="I131" s="8">
        <f>IF(A131="","",Eingabe!$B$8-SUMIFS($F$2:F131,$D$2:D131,D131))</f>
        <v/>
      </c>
      <c r="J131" s="8">
        <f>IF(A131="","",IF(E131="",1E+99,IFERROR(VLOOKUP(E131,Eingabe!$D$5:$E$44,2,FALSE),Eingabe!$B$9)))</f>
        <v/>
      </c>
      <c r="K131" s="8">
        <f>IF(A131="","",IF(E131="",1E+99,J131-SUMIFS($F$2:F131,$E$2:E131,E131)))</f>
        <v/>
      </c>
      <c r="L131" s="5">
        <f>IF(A131="","",IF(OR(H131&lt;0,I131&lt;0,K131&lt;0),"UNMOEGLICH","OK"))</f>
        <v/>
      </c>
    </row>
    <row r="132">
      <c r="A132" s="7">
        <f>IF(ROW()-1&lt;=Eingabe!$B$4-Eingabe!$B$3+1,Eingabe!$B$3+ROW()-2,"")</f>
        <v/>
      </c>
      <c r="B132" s="5">
        <f>IF(A132="","",TEXT(A132,"yyyy-mm-dd"))</f>
        <v/>
      </c>
      <c r="C132" s="5">
        <f>IF(A132="","",TEXT(A132,"ddd"))</f>
        <v/>
      </c>
      <c r="D132" s="5">
        <f>IF(A132="","",TEXT(A132,"yyyy-mm"))</f>
        <v/>
      </c>
      <c r="E132" s="5">
        <f>IF(A132="","",IF(A132&lt;Eingabe!$B$5,"",INT((A132-Eingabe!$B$5)/(Eingabe!$B$6*7))+1))</f>
        <v/>
      </c>
      <c r="F132" s="8">
        <f>IF(A132="","",SUMPRODUCT((Eingabe!$B$16:$B$165&lt;&gt;"")*(Eingabe!$J$16:$J$165)*--(A132&gt;=Eingabe!$G$16:$G$165)*--(A132&lt;=Eingabe!$H$16:$H$165)*--(WEEKDAY(A132,2)&lt;=5)))</f>
        <v/>
      </c>
      <c r="G132" s="8">
        <f>IF(A132="","",SUM($F$2:F132))</f>
        <v/>
      </c>
      <c r="H132" s="8">
        <f>IF(A132="","",Eingabe!$B$7-G132)</f>
        <v/>
      </c>
      <c r="I132" s="8">
        <f>IF(A132="","",Eingabe!$B$8-SUMIFS($F$2:F132,$D$2:D132,D132))</f>
        <v/>
      </c>
      <c r="J132" s="8">
        <f>IF(A132="","",IF(E132="",1E+99,IFERROR(VLOOKUP(E132,Eingabe!$D$5:$E$44,2,FALSE),Eingabe!$B$9)))</f>
        <v/>
      </c>
      <c r="K132" s="8">
        <f>IF(A132="","",IF(E132="",1E+99,J132-SUMIFS($F$2:F132,$E$2:E132,E132)))</f>
        <v/>
      </c>
      <c r="L132" s="5">
        <f>IF(A132="","",IF(OR(H132&lt;0,I132&lt;0,K132&lt;0),"UNMOEGLICH","OK"))</f>
        <v/>
      </c>
    </row>
    <row r="133">
      <c r="A133" s="7">
        <f>IF(ROW()-1&lt;=Eingabe!$B$4-Eingabe!$B$3+1,Eingabe!$B$3+ROW()-2,"")</f>
        <v/>
      </c>
      <c r="B133" s="5">
        <f>IF(A133="","",TEXT(A133,"yyyy-mm-dd"))</f>
        <v/>
      </c>
      <c r="C133" s="5">
        <f>IF(A133="","",TEXT(A133,"ddd"))</f>
        <v/>
      </c>
      <c r="D133" s="5">
        <f>IF(A133="","",TEXT(A133,"yyyy-mm"))</f>
        <v/>
      </c>
      <c r="E133" s="5">
        <f>IF(A133="","",IF(A133&lt;Eingabe!$B$5,"",INT((A133-Eingabe!$B$5)/(Eingabe!$B$6*7))+1))</f>
        <v/>
      </c>
      <c r="F133" s="8">
        <f>IF(A133="","",SUMPRODUCT((Eingabe!$B$16:$B$165&lt;&gt;"")*(Eingabe!$J$16:$J$165)*--(A133&gt;=Eingabe!$G$16:$G$165)*--(A133&lt;=Eingabe!$H$16:$H$165)*--(WEEKDAY(A133,2)&lt;=5)))</f>
        <v/>
      </c>
      <c r="G133" s="8">
        <f>IF(A133="","",SUM($F$2:F133))</f>
        <v/>
      </c>
      <c r="H133" s="8">
        <f>IF(A133="","",Eingabe!$B$7-G133)</f>
        <v/>
      </c>
      <c r="I133" s="8">
        <f>IF(A133="","",Eingabe!$B$8-SUMIFS($F$2:F133,$D$2:D133,D133))</f>
        <v/>
      </c>
      <c r="J133" s="8">
        <f>IF(A133="","",IF(E133="",1E+99,IFERROR(VLOOKUP(E133,Eingabe!$D$5:$E$44,2,FALSE),Eingabe!$B$9)))</f>
        <v/>
      </c>
      <c r="K133" s="8">
        <f>IF(A133="","",IF(E133="",1E+99,J133-SUMIFS($F$2:F133,$E$2:E133,E133)))</f>
        <v/>
      </c>
      <c r="L133" s="5">
        <f>IF(A133="","",IF(OR(H133&lt;0,I133&lt;0,K133&lt;0),"UNMOEGLICH","OK"))</f>
        <v/>
      </c>
    </row>
    <row r="134">
      <c r="A134" s="7">
        <f>IF(ROW()-1&lt;=Eingabe!$B$4-Eingabe!$B$3+1,Eingabe!$B$3+ROW()-2,"")</f>
        <v/>
      </c>
      <c r="B134" s="5">
        <f>IF(A134="","",TEXT(A134,"yyyy-mm-dd"))</f>
        <v/>
      </c>
      <c r="C134" s="5">
        <f>IF(A134="","",TEXT(A134,"ddd"))</f>
        <v/>
      </c>
      <c r="D134" s="5">
        <f>IF(A134="","",TEXT(A134,"yyyy-mm"))</f>
        <v/>
      </c>
      <c r="E134" s="5">
        <f>IF(A134="","",IF(A134&lt;Eingabe!$B$5,"",INT((A134-Eingabe!$B$5)/(Eingabe!$B$6*7))+1))</f>
        <v/>
      </c>
      <c r="F134" s="8">
        <f>IF(A134="","",SUMPRODUCT((Eingabe!$B$16:$B$165&lt;&gt;"")*(Eingabe!$J$16:$J$165)*--(A134&gt;=Eingabe!$G$16:$G$165)*--(A134&lt;=Eingabe!$H$16:$H$165)*--(WEEKDAY(A134,2)&lt;=5)))</f>
        <v/>
      </c>
      <c r="G134" s="8">
        <f>IF(A134="","",SUM($F$2:F134))</f>
        <v/>
      </c>
      <c r="H134" s="8">
        <f>IF(A134="","",Eingabe!$B$7-G134)</f>
        <v/>
      </c>
      <c r="I134" s="8">
        <f>IF(A134="","",Eingabe!$B$8-SUMIFS($F$2:F134,$D$2:D134,D134))</f>
        <v/>
      </c>
      <c r="J134" s="8">
        <f>IF(A134="","",IF(E134="",1E+99,IFERROR(VLOOKUP(E134,Eingabe!$D$5:$E$44,2,FALSE),Eingabe!$B$9)))</f>
        <v/>
      </c>
      <c r="K134" s="8">
        <f>IF(A134="","",IF(E134="",1E+99,J134-SUMIFS($F$2:F134,$E$2:E134,E134)))</f>
        <v/>
      </c>
      <c r="L134" s="5">
        <f>IF(A134="","",IF(OR(H134&lt;0,I134&lt;0,K134&lt;0),"UNMOEGLICH","OK"))</f>
        <v/>
      </c>
    </row>
    <row r="135">
      <c r="A135" s="7">
        <f>IF(ROW()-1&lt;=Eingabe!$B$4-Eingabe!$B$3+1,Eingabe!$B$3+ROW()-2,"")</f>
        <v/>
      </c>
      <c r="B135" s="5">
        <f>IF(A135="","",TEXT(A135,"yyyy-mm-dd"))</f>
        <v/>
      </c>
      <c r="C135" s="5">
        <f>IF(A135="","",TEXT(A135,"ddd"))</f>
        <v/>
      </c>
      <c r="D135" s="5">
        <f>IF(A135="","",TEXT(A135,"yyyy-mm"))</f>
        <v/>
      </c>
      <c r="E135" s="5">
        <f>IF(A135="","",IF(A135&lt;Eingabe!$B$5,"",INT((A135-Eingabe!$B$5)/(Eingabe!$B$6*7))+1))</f>
        <v/>
      </c>
      <c r="F135" s="8">
        <f>IF(A135="","",SUMPRODUCT((Eingabe!$B$16:$B$165&lt;&gt;"")*(Eingabe!$J$16:$J$165)*--(A135&gt;=Eingabe!$G$16:$G$165)*--(A135&lt;=Eingabe!$H$16:$H$165)*--(WEEKDAY(A135,2)&lt;=5)))</f>
        <v/>
      </c>
      <c r="G135" s="8">
        <f>IF(A135="","",SUM($F$2:F135))</f>
        <v/>
      </c>
      <c r="H135" s="8">
        <f>IF(A135="","",Eingabe!$B$7-G135)</f>
        <v/>
      </c>
      <c r="I135" s="8">
        <f>IF(A135="","",Eingabe!$B$8-SUMIFS($F$2:F135,$D$2:D135,D135))</f>
        <v/>
      </c>
      <c r="J135" s="8">
        <f>IF(A135="","",IF(E135="",1E+99,IFERROR(VLOOKUP(E135,Eingabe!$D$5:$E$44,2,FALSE),Eingabe!$B$9)))</f>
        <v/>
      </c>
      <c r="K135" s="8">
        <f>IF(A135="","",IF(E135="",1E+99,J135-SUMIFS($F$2:F135,$E$2:E135,E135)))</f>
        <v/>
      </c>
      <c r="L135" s="5">
        <f>IF(A135="","",IF(OR(H135&lt;0,I135&lt;0,K135&lt;0),"UNMOEGLICH","OK"))</f>
        <v/>
      </c>
    </row>
    <row r="136">
      <c r="A136" s="7">
        <f>IF(ROW()-1&lt;=Eingabe!$B$4-Eingabe!$B$3+1,Eingabe!$B$3+ROW()-2,"")</f>
        <v/>
      </c>
      <c r="B136" s="5">
        <f>IF(A136="","",TEXT(A136,"yyyy-mm-dd"))</f>
        <v/>
      </c>
      <c r="C136" s="5">
        <f>IF(A136="","",TEXT(A136,"ddd"))</f>
        <v/>
      </c>
      <c r="D136" s="5">
        <f>IF(A136="","",TEXT(A136,"yyyy-mm"))</f>
        <v/>
      </c>
      <c r="E136" s="5">
        <f>IF(A136="","",IF(A136&lt;Eingabe!$B$5,"",INT((A136-Eingabe!$B$5)/(Eingabe!$B$6*7))+1))</f>
        <v/>
      </c>
      <c r="F136" s="8">
        <f>IF(A136="","",SUMPRODUCT((Eingabe!$B$16:$B$165&lt;&gt;"")*(Eingabe!$J$16:$J$165)*--(A136&gt;=Eingabe!$G$16:$G$165)*--(A136&lt;=Eingabe!$H$16:$H$165)*--(WEEKDAY(A136,2)&lt;=5)))</f>
        <v/>
      </c>
      <c r="G136" s="8">
        <f>IF(A136="","",SUM($F$2:F136))</f>
        <v/>
      </c>
      <c r="H136" s="8">
        <f>IF(A136="","",Eingabe!$B$7-G136)</f>
        <v/>
      </c>
      <c r="I136" s="8">
        <f>IF(A136="","",Eingabe!$B$8-SUMIFS($F$2:F136,$D$2:D136,D136))</f>
        <v/>
      </c>
      <c r="J136" s="8">
        <f>IF(A136="","",IF(E136="",1E+99,IFERROR(VLOOKUP(E136,Eingabe!$D$5:$E$44,2,FALSE),Eingabe!$B$9)))</f>
        <v/>
      </c>
      <c r="K136" s="8">
        <f>IF(A136="","",IF(E136="",1E+99,J136-SUMIFS($F$2:F136,$E$2:E136,E136)))</f>
        <v/>
      </c>
      <c r="L136" s="5">
        <f>IF(A136="","",IF(OR(H136&lt;0,I136&lt;0,K136&lt;0),"UNMOEGLICH","OK"))</f>
        <v/>
      </c>
    </row>
    <row r="137">
      <c r="A137" s="7">
        <f>IF(ROW()-1&lt;=Eingabe!$B$4-Eingabe!$B$3+1,Eingabe!$B$3+ROW()-2,"")</f>
        <v/>
      </c>
      <c r="B137" s="5">
        <f>IF(A137="","",TEXT(A137,"yyyy-mm-dd"))</f>
        <v/>
      </c>
      <c r="C137" s="5">
        <f>IF(A137="","",TEXT(A137,"ddd"))</f>
        <v/>
      </c>
      <c r="D137" s="5">
        <f>IF(A137="","",TEXT(A137,"yyyy-mm"))</f>
        <v/>
      </c>
      <c r="E137" s="5">
        <f>IF(A137="","",IF(A137&lt;Eingabe!$B$5,"",INT((A137-Eingabe!$B$5)/(Eingabe!$B$6*7))+1))</f>
        <v/>
      </c>
      <c r="F137" s="8">
        <f>IF(A137="","",SUMPRODUCT((Eingabe!$B$16:$B$165&lt;&gt;"")*(Eingabe!$J$16:$J$165)*--(A137&gt;=Eingabe!$G$16:$G$165)*--(A137&lt;=Eingabe!$H$16:$H$165)*--(WEEKDAY(A137,2)&lt;=5)))</f>
        <v/>
      </c>
      <c r="G137" s="8">
        <f>IF(A137="","",SUM($F$2:F137))</f>
        <v/>
      </c>
      <c r="H137" s="8">
        <f>IF(A137="","",Eingabe!$B$7-G137)</f>
        <v/>
      </c>
      <c r="I137" s="8">
        <f>IF(A137="","",Eingabe!$B$8-SUMIFS($F$2:F137,$D$2:D137,D137))</f>
        <v/>
      </c>
      <c r="J137" s="8">
        <f>IF(A137="","",IF(E137="",1E+99,IFERROR(VLOOKUP(E137,Eingabe!$D$5:$E$44,2,FALSE),Eingabe!$B$9)))</f>
        <v/>
      </c>
      <c r="K137" s="8">
        <f>IF(A137="","",IF(E137="",1E+99,J137-SUMIFS($F$2:F137,$E$2:E137,E137)))</f>
        <v/>
      </c>
      <c r="L137" s="5">
        <f>IF(A137="","",IF(OR(H137&lt;0,I137&lt;0,K137&lt;0),"UNMOEGLICH","OK"))</f>
        <v/>
      </c>
    </row>
    <row r="138">
      <c r="A138" s="7">
        <f>IF(ROW()-1&lt;=Eingabe!$B$4-Eingabe!$B$3+1,Eingabe!$B$3+ROW()-2,"")</f>
        <v/>
      </c>
      <c r="B138" s="5">
        <f>IF(A138="","",TEXT(A138,"yyyy-mm-dd"))</f>
        <v/>
      </c>
      <c r="C138" s="5">
        <f>IF(A138="","",TEXT(A138,"ddd"))</f>
        <v/>
      </c>
      <c r="D138" s="5">
        <f>IF(A138="","",TEXT(A138,"yyyy-mm"))</f>
        <v/>
      </c>
      <c r="E138" s="5">
        <f>IF(A138="","",IF(A138&lt;Eingabe!$B$5,"",INT((A138-Eingabe!$B$5)/(Eingabe!$B$6*7))+1))</f>
        <v/>
      </c>
      <c r="F138" s="8">
        <f>IF(A138="","",SUMPRODUCT((Eingabe!$B$16:$B$165&lt;&gt;"")*(Eingabe!$J$16:$J$165)*--(A138&gt;=Eingabe!$G$16:$G$165)*--(A138&lt;=Eingabe!$H$16:$H$165)*--(WEEKDAY(A138,2)&lt;=5)))</f>
        <v/>
      </c>
      <c r="G138" s="8">
        <f>IF(A138="","",SUM($F$2:F138))</f>
        <v/>
      </c>
      <c r="H138" s="8">
        <f>IF(A138="","",Eingabe!$B$7-G138)</f>
        <v/>
      </c>
      <c r="I138" s="8">
        <f>IF(A138="","",Eingabe!$B$8-SUMIFS($F$2:F138,$D$2:D138,D138))</f>
        <v/>
      </c>
      <c r="J138" s="8">
        <f>IF(A138="","",IF(E138="",1E+99,IFERROR(VLOOKUP(E138,Eingabe!$D$5:$E$44,2,FALSE),Eingabe!$B$9)))</f>
        <v/>
      </c>
      <c r="K138" s="8">
        <f>IF(A138="","",IF(E138="",1E+99,J138-SUMIFS($F$2:F138,$E$2:E138,E138)))</f>
        <v/>
      </c>
      <c r="L138" s="5">
        <f>IF(A138="","",IF(OR(H138&lt;0,I138&lt;0,K138&lt;0),"UNMOEGLICH","OK"))</f>
        <v/>
      </c>
    </row>
    <row r="139">
      <c r="A139" s="7">
        <f>IF(ROW()-1&lt;=Eingabe!$B$4-Eingabe!$B$3+1,Eingabe!$B$3+ROW()-2,"")</f>
        <v/>
      </c>
      <c r="B139" s="5">
        <f>IF(A139="","",TEXT(A139,"yyyy-mm-dd"))</f>
        <v/>
      </c>
      <c r="C139" s="5">
        <f>IF(A139="","",TEXT(A139,"ddd"))</f>
        <v/>
      </c>
      <c r="D139" s="5">
        <f>IF(A139="","",TEXT(A139,"yyyy-mm"))</f>
        <v/>
      </c>
      <c r="E139" s="5">
        <f>IF(A139="","",IF(A139&lt;Eingabe!$B$5,"",INT((A139-Eingabe!$B$5)/(Eingabe!$B$6*7))+1))</f>
        <v/>
      </c>
      <c r="F139" s="8">
        <f>IF(A139="","",SUMPRODUCT((Eingabe!$B$16:$B$165&lt;&gt;"")*(Eingabe!$J$16:$J$165)*--(A139&gt;=Eingabe!$G$16:$G$165)*--(A139&lt;=Eingabe!$H$16:$H$165)*--(WEEKDAY(A139,2)&lt;=5)))</f>
        <v/>
      </c>
      <c r="G139" s="8">
        <f>IF(A139="","",SUM($F$2:F139))</f>
        <v/>
      </c>
      <c r="H139" s="8">
        <f>IF(A139="","",Eingabe!$B$7-G139)</f>
        <v/>
      </c>
      <c r="I139" s="8">
        <f>IF(A139="","",Eingabe!$B$8-SUMIFS($F$2:F139,$D$2:D139,D139))</f>
        <v/>
      </c>
      <c r="J139" s="8">
        <f>IF(A139="","",IF(E139="",1E+99,IFERROR(VLOOKUP(E139,Eingabe!$D$5:$E$44,2,FALSE),Eingabe!$B$9)))</f>
        <v/>
      </c>
      <c r="K139" s="8">
        <f>IF(A139="","",IF(E139="",1E+99,J139-SUMIFS($F$2:F139,$E$2:E139,E139)))</f>
        <v/>
      </c>
      <c r="L139" s="5">
        <f>IF(A139="","",IF(OR(H139&lt;0,I139&lt;0,K139&lt;0),"UNMOEGLICH","OK"))</f>
        <v/>
      </c>
    </row>
    <row r="140">
      <c r="A140" s="7">
        <f>IF(ROW()-1&lt;=Eingabe!$B$4-Eingabe!$B$3+1,Eingabe!$B$3+ROW()-2,"")</f>
        <v/>
      </c>
      <c r="B140" s="5">
        <f>IF(A140="","",TEXT(A140,"yyyy-mm-dd"))</f>
        <v/>
      </c>
      <c r="C140" s="5">
        <f>IF(A140="","",TEXT(A140,"ddd"))</f>
        <v/>
      </c>
      <c r="D140" s="5">
        <f>IF(A140="","",TEXT(A140,"yyyy-mm"))</f>
        <v/>
      </c>
      <c r="E140" s="5">
        <f>IF(A140="","",IF(A140&lt;Eingabe!$B$5,"",INT((A140-Eingabe!$B$5)/(Eingabe!$B$6*7))+1))</f>
        <v/>
      </c>
      <c r="F140" s="8">
        <f>IF(A140="","",SUMPRODUCT((Eingabe!$B$16:$B$165&lt;&gt;"")*(Eingabe!$J$16:$J$165)*--(A140&gt;=Eingabe!$G$16:$G$165)*--(A140&lt;=Eingabe!$H$16:$H$165)*--(WEEKDAY(A140,2)&lt;=5)))</f>
        <v/>
      </c>
      <c r="G140" s="8">
        <f>IF(A140="","",SUM($F$2:F140))</f>
        <v/>
      </c>
      <c r="H140" s="8">
        <f>IF(A140="","",Eingabe!$B$7-G140)</f>
        <v/>
      </c>
      <c r="I140" s="8">
        <f>IF(A140="","",Eingabe!$B$8-SUMIFS($F$2:F140,$D$2:D140,D140))</f>
        <v/>
      </c>
      <c r="J140" s="8">
        <f>IF(A140="","",IF(E140="",1E+99,IFERROR(VLOOKUP(E140,Eingabe!$D$5:$E$44,2,FALSE),Eingabe!$B$9)))</f>
        <v/>
      </c>
      <c r="K140" s="8">
        <f>IF(A140="","",IF(E140="",1E+99,J140-SUMIFS($F$2:F140,$E$2:E140,E140)))</f>
        <v/>
      </c>
      <c r="L140" s="5">
        <f>IF(A140="","",IF(OR(H140&lt;0,I140&lt;0,K140&lt;0),"UNMOEGLICH","OK"))</f>
        <v/>
      </c>
    </row>
    <row r="141">
      <c r="A141" s="7">
        <f>IF(ROW()-1&lt;=Eingabe!$B$4-Eingabe!$B$3+1,Eingabe!$B$3+ROW()-2,"")</f>
        <v/>
      </c>
      <c r="B141" s="5">
        <f>IF(A141="","",TEXT(A141,"yyyy-mm-dd"))</f>
        <v/>
      </c>
      <c r="C141" s="5">
        <f>IF(A141="","",TEXT(A141,"ddd"))</f>
        <v/>
      </c>
      <c r="D141" s="5">
        <f>IF(A141="","",TEXT(A141,"yyyy-mm"))</f>
        <v/>
      </c>
      <c r="E141" s="5">
        <f>IF(A141="","",IF(A141&lt;Eingabe!$B$5,"",INT((A141-Eingabe!$B$5)/(Eingabe!$B$6*7))+1))</f>
        <v/>
      </c>
      <c r="F141" s="8">
        <f>IF(A141="","",SUMPRODUCT((Eingabe!$B$16:$B$165&lt;&gt;"")*(Eingabe!$J$16:$J$165)*--(A141&gt;=Eingabe!$G$16:$G$165)*--(A141&lt;=Eingabe!$H$16:$H$165)*--(WEEKDAY(A141,2)&lt;=5)))</f>
        <v/>
      </c>
      <c r="G141" s="8">
        <f>IF(A141="","",SUM($F$2:F141))</f>
        <v/>
      </c>
      <c r="H141" s="8">
        <f>IF(A141="","",Eingabe!$B$7-G141)</f>
        <v/>
      </c>
      <c r="I141" s="8">
        <f>IF(A141="","",Eingabe!$B$8-SUMIFS($F$2:F141,$D$2:D141,D141))</f>
        <v/>
      </c>
      <c r="J141" s="8">
        <f>IF(A141="","",IF(E141="",1E+99,IFERROR(VLOOKUP(E141,Eingabe!$D$5:$E$44,2,FALSE),Eingabe!$B$9)))</f>
        <v/>
      </c>
      <c r="K141" s="8">
        <f>IF(A141="","",IF(E141="",1E+99,J141-SUMIFS($F$2:F141,$E$2:E141,E141)))</f>
        <v/>
      </c>
      <c r="L141" s="5">
        <f>IF(A141="","",IF(OR(H141&lt;0,I141&lt;0,K141&lt;0),"UNMOEGLICH","OK"))</f>
        <v/>
      </c>
    </row>
    <row r="142">
      <c r="A142" s="7">
        <f>IF(ROW()-1&lt;=Eingabe!$B$4-Eingabe!$B$3+1,Eingabe!$B$3+ROW()-2,"")</f>
        <v/>
      </c>
      <c r="B142" s="5">
        <f>IF(A142="","",TEXT(A142,"yyyy-mm-dd"))</f>
        <v/>
      </c>
      <c r="C142" s="5">
        <f>IF(A142="","",TEXT(A142,"ddd"))</f>
        <v/>
      </c>
      <c r="D142" s="5">
        <f>IF(A142="","",TEXT(A142,"yyyy-mm"))</f>
        <v/>
      </c>
      <c r="E142" s="5">
        <f>IF(A142="","",IF(A142&lt;Eingabe!$B$5,"",INT((A142-Eingabe!$B$5)/(Eingabe!$B$6*7))+1))</f>
        <v/>
      </c>
      <c r="F142" s="8">
        <f>IF(A142="","",SUMPRODUCT((Eingabe!$B$16:$B$165&lt;&gt;"")*(Eingabe!$J$16:$J$165)*--(A142&gt;=Eingabe!$G$16:$G$165)*--(A142&lt;=Eingabe!$H$16:$H$165)*--(WEEKDAY(A142,2)&lt;=5)))</f>
        <v/>
      </c>
      <c r="G142" s="8">
        <f>IF(A142="","",SUM($F$2:F142))</f>
        <v/>
      </c>
      <c r="H142" s="8">
        <f>IF(A142="","",Eingabe!$B$7-G142)</f>
        <v/>
      </c>
      <c r="I142" s="8">
        <f>IF(A142="","",Eingabe!$B$8-SUMIFS($F$2:F142,$D$2:D142,D142))</f>
        <v/>
      </c>
      <c r="J142" s="8">
        <f>IF(A142="","",IF(E142="",1E+99,IFERROR(VLOOKUP(E142,Eingabe!$D$5:$E$44,2,FALSE),Eingabe!$B$9)))</f>
        <v/>
      </c>
      <c r="K142" s="8">
        <f>IF(A142="","",IF(E142="",1E+99,J142-SUMIFS($F$2:F142,$E$2:E142,E142)))</f>
        <v/>
      </c>
      <c r="L142" s="5">
        <f>IF(A142="","",IF(OR(H142&lt;0,I142&lt;0,K142&lt;0),"UNMOEGLICH","OK"))</f>
        <v/>
      </c>
    </row>
    <row r="143">
      <c r="A143" s="7">
        <f>IF(ROW()-1&lt;=Eingabe!$B$4-Eingabe!$B$3+1,Eingabe!$B$3+ROW()-2,"")</f>
        <v/>
      </c>
      <c r="B143" s="5">
        <f>IF(A143="","",TEXT(A143,"yyyy-mm-dd"))</f>
        <v/>
      </c>
      <c r="C143" s="5">
        <f>IF(A143="","",TEXT(A143,"ddd"))</f>
        <v/>
      </c>
      <c r="D143" s="5">
        <f>IF(A143="","",TEXT(A143,"yyyy-mm"))</f>
        <v/>
      </c>
      <c r="E143" s="5">
        <f>IF(A143="","",IF(A143&lt;Eingabe!$B$5,"",INT((A143-Eingabe!$B$5)/(Eingabe!$B$6*7))+1))</f>
        <v/>
      </c>
      <c r="F143" s="8">
        <f>IF(A143="","",SUMPRODUCT((Eingabe!$B$16:$B$165&lt;&gt;"")*(Eingabe!$J$16:$J$165)*--(A143&gt;=Eingabe!$G$16:$G$165)*--(A143&lt;=Eingabe!$H$16:$H$165)*--(WEEKDAY(A143,2)&lt;=5)))</f>
        <v/>
      </c>
      <c r="G143" s="8">
        <f>IF(A143="","",SUM($F$2:F143))</f>
        <v/>
      </c>
      <c r="H143" s="8">
        <f>IF(A143="","",Eingabe!$B$7-G143)</f>
        <v/>
      </c>
      <c r="I143" s="8">
        <f>IF(A143="","",Eingabe!$B$8-SUMIFS($F$2:F143,$D$2:D143,D143))</f>
        <v/>
      </c>
      <c r="J143" s="8">
        <f>IF(A143="","",IF(E143="",1E+99,IFERROR(VLOOKUP(E143,Eingabe!$D$5:$E$44,2,FALSE),Eingabe!$B$9)))</f>
        <v/>
      </c>
      <c r="K143" s="8">
        <f>IF(A143="","",IF(E143="",1E+99,J143-SUMIFS($F$2:F143,$E$2:E143,E143)))</f>
        <v/>
      </c>
      <c r="L143" s="5">
        <f>IF(A143="","",IF(OR(H143&lt;0,I143&lt;0,K143&lt;0),"UNMOEGLICH","OK"))</f>
        <v/>
      </c>
    </row>
    <row r="144">
      <c r="A144" s="7">
        <f>IF(ROW()-1&lt;=Eingabe!$B$4-Eingabe!$B$3+1,Eingabe!$B$3+ROW()-2,"")</f>
        <v/>
      </c>
      <c r="B144" s="5">
        <f>IF(A144="","",TEXT(A144,"yyyy-mm-dd"))</f>
        <v/>
      </c>
      <c r="C144" s="5">
        <f>IF(A144="","",TEXT(A144,"ddd"))</f>
        <v/>
      </c>
      <c r="D144" s="5">
        <f>IF(A144="","",TEXT(A144,"yyyy-mm"))</f>
        <v/>
      </c>
      <c r="E144" s="5">
        <f>IF(A144="","",IF(A144&lt;Eingabe!$B$5,"",INT((A144-Eingabe!$B$5)/(Eingabe!$B$6*7))+1))</f>
        <v/>
      </c>
      <c r="F144" s="8">
        <f>IF(A144="","",SUMPRODUCT((Eingabe!$B$16:$B$165&lt;&gt;"")*(Eingabe!$J$16:$J$165)*--(A144&gt;=Eingabe!$G$16:$G$165)*--(A144&lt;=Eingabe!$H$16:$H$165)*--(WEEKDAY(A144,2)&lt;=5)))</f>
        <v/>
      </c>
      <c r="G144" s="8">
        <f>IF(A144="","",SUM($F$2:F144))</f>
        <v/>
      </c>
      <c r="H144" s="8">
        <f>IF(A144="","",Eingabe!$B$7-G144)</f>
        <v/>
      </c>
      <c r="I144" s="8">
        <f>IF(A144="","",Eingabe!$B$8-SUMIFS($F$2:F144,$D$2:D144,D144))</f>
        <v/>
      </c>
      <c r="J144" s="8">
        <f>IF(A144="","",IF(E144="",1E+99,IFERROR(VLOOKUP(E144,Eingabe!$D$5:$E$44,2,FALSE),Eingabe!$B$9)))</f>
        <v/>
      </c>
      <c r="K144" s="8">
        <f>IF(A144="","",IF(E144="",1E+99,J144-SUMIFS($F$2:F144,$E$2:E144,E144)))</f>
        <v/>
      </c>
      <c r="L144" s="5">
        <f>IF(A144="","",IF(OR(H144&lt;0,I144&lt;0,K144&lt;0),"UNMOEGLICH","OK"))</f>
        <v/>
      </c>
    </row>
    <row r="145">
      <c r="A145" s="7">
        <f>IF(ROW()-1&lt;=Eingabe!$B$4-Eingabe!$B$3+1,Eingabe!$B$3+ROW()-2,"")</f>
        <v/>
      </c>
      <c r="B145" s="5">
        <f>IF(A145="","",TEXT(A145,"yyyy-mm-dd"))</f>
        <v/>
      </c>
      <c r="C145" s="5">
        <f>IF(A145="","",TEXT(A145,"ddd"))</f>
        <v/>
      </c>
      <c r="D145" s="5">
        <f>IF(A145="","",TEXT(A145,"yyyy-mm"))</f>
        <v/>
      </c>
      <c r="E145" s="5">
        <f>IF(A145="","",IF(A145&lt;Eingabe!$B$5,"",INT((A145-Eingabe!$B$5)/(Eingabe!$B$6*7))+1))</f>
        <v/>
      </c>
      <c r="F145" s="8">
        <f>IF(A145="","",SUMPRODUCT((Eingabe!$B$16:$B$165&lt;&gt;"")*(Eingabe!$J$16:$J$165)*--(A145&gt;=Eingabe!$G$16:$G$165)*--(A145&lt;=Eingabe!$H$16:$H$165)*--(WEEKDAY(A145,2)&lt;=5)))</f>
        <v/>
      </c>
      <c r="G145" s="8">
        <f>IF(A145="","",SUM($F$2:F145))</f>
        <v/>
      </c>
      <c r="H145" s="8">
        <f>IF(A145="","",Eingabe!$B$7-G145)</f>
        <v/>
      </c>
      <c r="I145" s="8">
        <f>IF(A145="","",Eingabe!$B$8-SUMIFS($F$2:F145,$D$2:D145,D145))</f>
        <v/>
      </c>
      <c r="J145" s="8">
        <f>IF(A145="","",IF(E145="",1E+99,IFERROR(VLOOKUP(E145,Eingabe!$D$5:$E$44,2,FALSE),Eingabe!$B$9)))</f>
        <v/>
      </c>
      <c r="K145" s="8">
        <f>IF(A145="","",IF(E145="",1E+99,J145-SUMIFS($F$2:F145,$E$2:E145,E145)))</f>
        <v/>
      </c>
      <c r="L145" s="5">
        <f>IF(A145="","",IF(OR(H145&lt;0,I145&lt;0,K145&lt;0),"UNMOEGLICH","OK"))</f>
        <v/>
      </c>
    </row>
    <row r="146">
      <c r="A146" s="7">
        <f>IF(ROW()-1&lt;=Eingabe!$B$4-Eingabe!$B$3+1,Eingabe!$B$3+ROW()-2,"")</f>
        <v/>
      </c>
      <c r="B146" s="5">
        <f>IF(A146="","",TEXT(A146,"yyyy-mm-dd"))</f>
        <v/>
      </c>
      <c r="C146" s="5">
        <f>IF(A146="","",TEXT(A146,"ddd"))</f>
        <v/>
      </c>
      <c r="D146" s="5">
        <f>IF(A146="","",TEXT(A146,"yyyy-mm"))</f>
        <v/>
      </c>
      <c r="E146" s="5">
        <f>IF(A146="","",IF(A146&lt;Eingabe!$B$5,"",INT((A146-Eingabe!$B$5)/(Eingabe!$B$6*7))+1))</f>
        <v/>
      </c>
      <c r="F146" s="8">
        <f>IF(A146="","",SUMPRODUCT((Eingabe!$B$16:$B$165&lt;&gt;"")*(Eingabe!$J$16:$J$165)*--(A146&gt;=Eingabe!$G$16:$G$165)*--(A146&lt;=Eingabe!$H$16:$H$165)*--(WEEKDAY(A146,2)&lt;=5)))</f>
        <v/>
      </c>
      <c r="G146" s="8">
        <f>IF(A146="","",SUM($F$2:F146))</f>
        <v/>
      </c>
      <c r="H146" s="8">
        <f>IF(A146="","",Eingabe!$B$7-G146)</f>
        <v/>
      </c>
      <c r="I146" s="8">
        <f>IF(A146="","",Eingabe!$B$8-SUMIFS($F$2:F146,$D$2:D146,D146))</f>
        <v/>
      </c>
      <c r="J146" s="8">
        <f>IF(A146="","",IF(E146="",1E+99,IFERROR(VLOOKUP(E146,Eingabe!$D$5:$E$44,2,FALSE),Eingabe!$B$9)))</f>
        <v/>
      </c>
      <c r="K146" s="8">
        <f>IF(A146="","",IF(E146="",1E+99,J146-SUMIFS($F$2:F146,$E$2:E146,E146)))</f>
        <v/>
      </c>
      <c r="L146" s="5">
        <f>IF(A146="","",IF(OR(H146&lt;0,I146&lt;0,K146&lt;0),"UNMOEGLICH","OK"))</f>
        <v/>
      </c>
    </row>
    <row r="147">
      <c r="A147" s="7">
        <f>IF(ROW()-1&lt;=Eingabe!$B$4-Eingabe!$B$3+1,Eingabe!$B$3+ROW()-2,"")</f>
        <v/>
      </c>
      <c r="B147" s="5">
        <f>IF(A147="","",TEXT(A147,"yyyy-mm-dd"))</f>
        <v/>
      </c>
      <c r="C147" s="5">
        <f>IF(A147="","",TEXT(A147,"ddd"))</f>
        <v/>
      </c>
      <c r="D147" s="5">
        <f>IF(A147="","",TEXT(A147,"yyyy-mm"))</f>
        <v/>
      </c>
      <c r="E147" s="5">
        <f>IF(A147="","",IF(A147&lt;Eingabe!$B$5,"",INT((A147-Eingabe!$B$5)/(Eingabe!$B$6*7))+1))</f>
        <v/>
      </c>
      <c r="F147" s="8">
        <f>IF(A147="","",SUMPRODUCT((Eingabe!$B$16:$B$165&lt;&gt;"")*(Eingabe!$J$16:$J$165)*--(A147&gt;=Eingabe!$G$16:$G$165)*--(A147&lt;=Eingabe!$H$16:$H$165)*--(WEEKDAY(A147,2)&lt;=5)))</f>
        <v/>
      </c>
      <c r="G147" s="8">
        <f>IF(A147="","",SUM($F$2:F147))</f>
        <v/>
      </c>
      <c r="H147" s="8">
        <f>IF(A147="","",Eingabe!$B$7-G147)</f>
        <v/>
      </c>
      <c r="I147" s="8">
        <f>IF(A147="","",Eingabe!$B$8-SUMIFS($F$2:F147,$D$2:D147,D147))</f>
        <v/>
      </c>
      <c r="J147" s="8">
        <f>IF(A147="","",IF(E147="",1E+99,IFERROR(VLOOKUP(E147,Eingabe!$D$5:$E$44,2,FALSE),Eingabe!$B$9)))</f>
        <v/>
      </c>
      <c r="K147" s="8">
        <f>IF(A147="","",IF(E147="",1E+99,J147-SUMIFS($F$2:F147,$E$2:E147,E147)))</f>
        <v/>
      </c>
      <c r="L147" s="5">
        <f>IF(A147="","",IF(OR(H147&lt;0,I147&lt;0,K147&lt;0),"UNMOEGLICH","OK"))</f>
        <v/>
      </c>
    </row>
    <row r="148">
      <c r="A148" s="7">
        <f>IF(ROW()-1&lt;=Eingabe!$B$4-Eingabe!$B$3+1,Eingabe!$B$3+ROW()-2,"")</f>
        <v/>
      </c>
      <c r="B148" s="5">
        <f>IF(A148="","",TEXT(A148,"yyyy-mm-dd"))</f>
        <v/>
      </c>
      <c r="C148" s="5">
        <f>IF(A148="","",TEXT(A148,"ddd"))</f>
        <v/>
      </c>
      <c r="D148" s="5">
        <f>IF(A148="","",TEXT(A148,"yyyy-mm"))</f>
        <v/>
      </c>
      <c r="E148" s="5">
        <f>IF(A148="","",IF(A148&lt;Eingabe!$B$5,"",INT((A148-Eingabe!$B$5)/(Eingabe!$B$6*7))+1))</f>
        <v/>
      </c>
      <c r="F148" s="8">
        <f>IF(A148="","",SUMPRODUCT((Eingabe!$B$16:$B$165&lt;&gt;"")*(Eingabe!$J$16:$J$165)*--(A148&gt;=Eingabe!$G$16:$G$165)*--(A148&lt;=Eingabe!$H$16:$H$165)*--(WEEKDAY(A148,2)&lt;=5)))</f>
        <v/>
      </c>
      <c r="G148" s="8">
        <f>IF(A148="","",SUM($F$2:F148))</f>
        <v/>
      </c>
      <c r="H148" s="8">
        <f>IF(A148="","",Eingabe!$B$7-G148)</f>
        <v/>
      </c>
      <c r="I148" s="8">
        <f>IF(A148="","",Eingabe!$B$8-SUMIFS($F$2:F148,$D$2:D148,D148))</f>
        <v/>
      </c>
      <c r="J148" s="8">
        <f>IF(A148="","",IF(E148="",1E+99,IFERROR(VLOOKUP(E148,Eingabe!$D$5:$E$44,2,FALSE),Eingabe!$B$9)))</f>
        <v/>
      </c>
      <c r="K148" s="8">
        <f>IF(A148="","",IF(E148="",1E+99,J148-SUMIFS($F$2:F148,$E$2:E148,E148)))</f>
        <v/>
      </c>
      <c r="L148" s="5">
        <f>IF(A148="","",IF(OR(H148&lt;0,I148&lt;0,K148&lt;0),"UNMOEGLICH","OK"))</f>
        <v/>
      </c>
    </row>
    <row r="149">
      <c r="A149" s="7">
        <f>IF(ROW()-1&lt;=Eingabe!$B$4-Eingabe!$B$3+1,Eingabe!$B$3+ROW()-2,"")</f>
        <v/>
      </c>
      <c r="B149" s="5">
        <f>IF(A149="","",TEXT(A149,"yyyy-mm-dd"))</f>
        <v/>
      </c>
      <c r="C149" s="5">
        <f>IF(A149="","",TEXT(A149,"ddd"))</f>
        <v/>
      </c>
      <c r="D149" s="5">
        <f>IF(A149="","",TEXT(A149,"yyyy-mm"))</f>
        <v/>
      </c>
      <c r="E149" s="5">
        <f>IF(A149="","",IF(A149&lt;Eingabe!$B$5,"",INT((A149-Eingabe!$B$5)/(Eingabe!$B$6*7))+1))</f>
        <v/>
      </c>
      <c r="F149" s="8">
        <f>IF(A149="","",SUMPRODUCT((Eingabe!$B$16:$B$165&lt;&gt;"")*(Eingabe!$J$16:$J$165)*--(A149&gt;=Eingabe!$G$16:$G$165)*--(A149&lt;=Eingabe!$H$16:$H$165)*--(WEEKDAY(A149,2)&lt;=5)))</f>
        <v/>
      </c>
      <c r="G149" s="8">
        <f>IF(A149="","",SUM($F$2:F149))</f>
        <v/>
      </c>
      <c r="H149" s="8">
        <f>IF(A149="","",Eingabe!$B$7-G149)</f>
        <v/>
      </c>
      <c r="I149" s="8">
        <f>IF(A149="","",Eingabe!$B$8-SUMIFS($F$2:F149,$D$2:D149,D149))</f>
        <v/>
      </c>
      <c r="J149" s="8">
        <f>IF(A149="","",IF(E149="",1E+99,IFERROR(VLOOKUP(E149,Eingabe!$D$5:$E$44,2,FALSE),Eingabe!$B$9)))</f>
        <v/>
      </c>
      <c r="K149" s="8">
        <f>IF(A149="","",IF(E149="",1E+99,J149-SUMIFS($F$2:F149,$E$2:E149,E149)))</f>
        <v/>
      </c>
      <c r="L149" s="5">
        <f>IF(A149="","",IF(OR(H149&lt;0,I149&lt;0,K149&lt;0),"UNMOEGLICH","OK"))</f>
        <v/>
      </c>
    </row>
    <row r="150">
      <c r="A150" s="7">
        <f>IF(ROW()-1&lt;=Eingabe!$B$4-Eingabe!$B$3+1,Eingabe!$B$3+ROW()-2,"")</f>
        <v/>
      </c>
      <c r="B150" s="5">
        <f>IF(A150="","",TEXT(A150,"yyyy-mm-dd"))</f>
        <v/>
      </c>
      <c r="C150" s="5">
        <f>IF(A150="","",TEXT(A150,"ddd"))</f>
        <v/>
      </c>
      <c r="D150" s="5">
        <f>IF(A150="","",TEXT(A150,"yyyy-mm"))</f>
        <v/>
      </c>
      <c r="E150" s="5">
        <f>IF(A150="","",IF(A150&lt;Eingabe!$B$5,"",INT((A150-Eingabe!$B$5)/(Eingabe!$B$6*7))+1))</f>
        <v/>
      </c>
      <c r="F150" s="8">
        <f>IF(A150="","",SUMPRODUCT((Eingabe!$B$16:$B$165&lt;&gt;"")*(Eingabe!$J$16:$J$165)*--(A150&gt;=Eingabe!$G$16:$G$165)*--(A150&lt;=Eingabe!$H$16:$H$165)*--(WEEKDAY(A150,2)&lt;=5)))</f>
        <v/>
      </c>
      <c r="G150" s="8">
        <f>IF(A150="","",SUM($F$2:F150))</f>
        <v/>
      </c>
      <c r="H150" s="8">
        <f>IF(A150="","",Eingabe!$B$7-G150)</f>
        <v/>
      </c>
      <c r="I150" s="8">
        <f>IF(A150="","",Eingabe!$B$8-SUMIFS($F$2:F150,$D$2:D150,D150))</f>
        <v/>
      </c>
      <c r="J150" s="8">
        <f>IF(A150="","",IF(E150="",1E+99,IFERROR(VLOOKUP(E150,Eingabe!$D$5:$E$44,2,FALSE),Eingabe!$B$9)))</f>
        <v/>
      </c>
      <c r="K150" s="8">
        <f>IF(A150="","",IF(E150="",1E+99,J150-SUMIFS($F$2:F150,$E$2:E150,E150)))</f>
        <v/>
      </c>
      <c r="L150" s="5">
        <f>IF(A150="","",IF(OR(H150&lt;0,I150&lt;0,K150&lt;0),"UNMOEGLICH","OK"))</f>
        <v/>
      </c>
    </row>
    <row r="151">
      <c r="A151" s="7">
        <f>IF(ROW()-1&lt;=Eingabe!$B$4-Eingabe!$B$3+1,Eingabe!$B$3+ROW()-2,"")</f>
        <v/>
      </c>
      <c r="B151" s="5">
        <f>IF(A151="","",TEXT(A151,"yyyy-mm-dd"))</f>
        <v/>
      </c>
      <c r="C151" s="5">
        <f>IF(A151="","",TEXT(A151,"ddd"))</f>
        <v/>
      </c>
      <c r="D151" s="5">
        <f>IF(A151="","",TEXT(A151,"yyyy-mm"))</f>
        <v/>
      </c>
      <c r="E151" s="5">
        <f>IF(A151="","",IF(A151&lt;Eingabe!$B$5,"",INT((A151-Eingabe!$B$5)/(Eingabe!$B$6*7))+1))</f>
        <v/>
      </c>
      <c r="F151" s="8">
        <f>IF(A151="","",SUMPRODUCT((Eingabe!$B$16:$B$165&lt;&gt;"")*(Eingabe!$J$16:$J$165)*--(A151&gt;=Eingabe!$G$16:$G$165)*--(A151&lt;=Eingabe!$H$16:$H$165)*--(WEEKDAY(A151,2)&lt;=5)))</f>
        <v/>
      </c>
      <c r="G151" s="8">
        <f>IF(A151="","",SUM($F$2:F151))</f>
        <v/>
      </c>
      <c r="H151" s="8">
        <f>IF(A151="","",Eingabe!$B$7-G151)</f>
        <v/>
      </c>
      <c r="I151" s="8">
        <f>IF(A151="","",Eingabe!$B$8-SUMIFS($F$2:F151,$D$2:D151,D151))</f>
        <v/>
      </c>
      <c r="J151" s="8">
        <f>IF(A151="","",IF(E151="",1E+99,IFERROR(VLOOKUP(E151,Eingabe!$D$5:$E$44,2,FALSE),Eingabe!$B$9)))</f>
        <v/>
      </c>
      <c r="K151" s="8">
        <f>IF(A151="","",IF(E151="",1E+99,J151-SUMIFS($F$2:F151,$E$2:E151,E151)))</f>
        <v/>
      </c>
      <c r="L151" s="5">
        <f>IF(A151="","",IF(OR(H151&lt;0,I151&lt;0,K151&lt;0),"UNMOEGLICH","OK"))</f>
        <v/>
      </c>
    </row>
    <row r="152">
      <c r="A152" s="7">
        <f>IF(ROW()-1&lt;=Eingabe!$B$4-Eingabe!$B$3+1,Eingabe!$B$3+ROW()-2,"")</f>
        <v/>
      </c>
      <c r="B152" s="5">
        <f>IF(A152="","",TEXT(A152,"yyyy-mm-dd"))</f>
        <v/>
      </c>
      <c r="C152" s="5">
        <f>IF(A152="","",TEXT(A152,"ddd"))</f>
        <v/>
      </c>
      <c r="D152" s="5">
        <f>IF(A152="","",TEXT(A152,"yyyy-mm"))</f>
        <v/>
      </c>
      <c r="E152" s="5">
        <f>IF(A152="","",IF(A152&lt;Eingabe!$B$5,"",INT((A152-Eingabe!$B$5)/(Eingabe!$B$6*7))+1))</f>
        <v/>
      </c>
      <c r="F152" s="8">
        <f>IF(A152="","",SUMPRODUCT((Eingabe!$B$16:$B$165&lt;&gt;"")*(Eingabe!$J$16:$J$165)*--(A152&gt;=Eingabe!$G$16:$G$165)*--(A152&lt;=Eingabe!$H$16:$H$165)*--(WEEKDAY(A152,2)&lt;=5)))</f>
        <v/>
      </c>
      <c r="G152" s="8">
        <f>IF(A152="","",SUM($F$2:F152))</f>
        <v/>
      </c>
      <c r="H152" s="8">
        <f>IF(A152="","",Eingabe!$B$7-G152)</f>
        <v/>
      </c>
      <c r="I152" s="8">
        <f>IF(A152="","",Eingabe!$B$8-SUMIFS($F$2:F152,$D$2:D152,D152))</f>
        <v/>
      </c>
      <c r="J152" s="8">
        <f>IF(A152="","",IF(E152="",1E+99,IFERROR(VLOOKUP(E152,Eingabe!$D$5:$E$44,2,FALSE),Eingabe!$B$9)))</f>
        <v/>
      </c>
      <c r="K152" s="8">
        <f>IF(A152="","",IF(E152="",1E+99,J152-SUMIFS($F$2:F152,$E$2:E152,E152)))</f>
        <v/>
      </c>
      <c r="L152" s="5">
        <f>IF(A152="","",IF(OR(H152&lt;0,I152&lt;0,K152&lt;0),"UNMOEGLICH","OK"))</f>
        <v/>
      </c>
    </row>
    <row r="153">
      <c r="A153" s="7">
        <f>IF(ROW()-1&lt;=Eingabe!$B$4-Eingabe!$B$3+1,Eingabe!$B$3+ROW()-2,"")</f>
        <v/>
      </c>
      <c r="B153" s="5">
        <f>IF(A153="","",TEXT(A153,"yyyy-mm-dd"))</f>
        <v/>
      </c>
      <c r="C153" s="5">
        <f>IF(A153="","",TEXT(A153,"ddd"))</f>
        <v/>
      </c>
      <c r="D153" s="5">
        <f>IF(A153="","",TEXT(A153,"yyyy-mm"))</f>
        <v/>
      </c>
      <c r="E153" s="5">
        <f>IF(A153="","",IF(A153&lt;Eingabe!$B$5,"",INT((A153-Eingabe!$B$5)/(Eingabe!$B$6*7))+1))</f>
        <v/>
      </c>
      <c r="F153" s="8">
        <f>IF(A153="","",SUMPRODUCT((Eingabe!$B$16:$B$165&lt;&gt;"")*(Eingabe!$J$16:$J$165)*--(A153&gt;=Eingabe!$G$16:$G$165)*--(A153&lt;=Eingabe!$H$16:$H$165)*--(WEEKDAY(A153,2)&lt;=5)))</f>
        <v/>
      </c>
      <c r="G153" s="8">
        <f>IF(A153="","",SUM($F$2:F153))</f>
        <v/>
      </c>
      <c r="H153" s="8">
        <f>IF(A153="","",Eingabe!$B$7-G153)</f>
        <v/>
      </c>
      <c r="I153" s="8">
        <f>IF(A153="","",Eingabe!$B$8-SUMIFS($F$2:F153,$D$2:D153,D153))</f>
        <v/>
      </c>
      <c r="J153" s="8">
        <f>IF(A153="","",IF(E153="",1E+99,IFERROR(VLOOKUP(E153,Eingabe!$D$5:$E$44,2,FALSE),Eingabe!$B$9)))</f>
        <v/>
      </c>
      <c r="K153" s="8">
        <f>IF(A153="","",IF(E153="",1E+99,J153-SUMIFS($F$2:F153,$E$2:E153,E153)))</f>
        <v/>
      </c>
      <c r="L153" s="5">
        <f>IF(A153="","",IF(OR(H153&lt;0,I153&lt;0,K153&lt;0),"UNMOEGLICH","OK"))</f>
        <v/>
      </c>
    </row>
    <row r="154">
      <c r="A154" s="7">
        <f>IF(ROW()-1&lt;=Eingabe!$B$4-Eingabe!$B$3+1,Eingabe!$B$3+ROW()-2,"")</f>
        <v/>
      </c>
      <c r="B154" s="5">
        <f>IF(A154="","",TEXT(A154,"yyyy-mm-dd"))</f>
        <v/>
      </c>
      <c r="C154" s="5">
        <f>IF(A154="","",TEXT(A154,"ddd"))</f>
        <v/>
      </c>
      <c r="D154" s="5">
        <f>IF(A154="","",TEXT(A154,"yyyy-mm"))</f>
        <v/>
      </c>
      <c r="E154" s="5">
        <f>IF(A154="","",IF(A154&lt;Eingabe!$B$5,"",INT((A154-Eingabe!$B$5)/(Eingabe!$B$6*7))+1))</f>
        <v/>
      </c>
      <c r="F154" s="8">
        <f>IF(A154="","",SUMPRODUCT((Eingabe!$B$16:$B$165&lt;&gt;"")*(Eingabe!$J$16:$J$165)*--(A154&gt;=Eingabe!$G$16:$G$165)*--(A154&lt;=Eingabe!$H$16:$H$165)*--(WEEKDAY(A154,2)&lt;=5)))</f>
        <v/>
      </c>
      <c r="G154" s="8">
        <f>IF(A154="","",SUM($F$2:F154))</f>
        <v/>
      </c>
      <c r="H154" s="8">
        <f>IF(A154="","",Eingabe!$B$7-G154)</f>
        <v/>
      </c>
      <c r="I154" s="8">
        <f>IF(A154="","",Eingabe!$B$8-SUMIFS($F$2:F154,$D$2:D154,D154))</f>
        <v/>
      </c>
      <c r="J154" s="8">
        <f>IF(A154="","",IF(E154="",1E+99,IFERROR(VLOOKUP(E154,Eingabe!$D$5:$E$44,2,FALSE),Eingabe!$B$9)))</f>
        <v/>
      </c>
      <c r="K154" s="8">
        <f>IF(A154="","",IF(E154="",1E+99,J154-SUMIFS($F$2:F154,$E$2:E154,E154)))</f>
        <v/>
      </c>
      <c r="L154" s="5">
        <f>IF(A154="","",IF(OR(H154&lt;0,I154&lt;0,K154&lt;0),"UNMOEGLICH","OK"))</f>
        <v/>
      </c>
    </row>
    <row r="155">
      <c r="A155" s="7">
        <f>IF(ROW()-1&lt;=Eingabe!$B$4-Eingabe!$B$3+1,Eingabe!$B$3+ROW()-2,"")</f>
        <v/>
      </c>
      <c r="B155" s="5">
        <f>IF(A155="","",TEXT(A155,"yyyy-mm-dd"))</f>
        <v/>
      </c>
      <c r="C155" s="5">
        <f>IF(A155="","",TEXT(A155,"ddd"))</f>
        <v/>
      </c>
      <c r="D155" s="5">
        <f>IF(A155="","",TEXT(A155,"yyyy-mm"))</f>
        <v/>
      </c>
      <c r="E155" s="5">
        <f>IF(A155="","",IF(A155&lt;Eingabe!$B$5,"",INT((A155-Eingabe!$B$5)/(Eingabe!$B$6*7))+1))</f>
        <v/>
      </c>
      <c r="F155" s="8">
        <f>IF(A155="","",SUMPRODUCT((Eingabe!$B$16:$B$165&lt;&gt;"")*(Eingabe!$J$16:$J$165)*--(A155&gt;=Eingabe!$G$16:$G$165)*--(A155&lt;=Eingabe!$H$16:$H$165)*--(WEEKDAY(A155,2)&lt;=5)))</f>
        <v/>
      </c>
      <c r="G155" s="8">
        <f>IF(A155="","",SUM($F$2:F155))</f>
        <v/>
      </c>
      <c r="H155" s="8">
        <f>IF(A155="","",Eingabe!$B$7-G155)</f>
        <v/>
      </c>
      <c r="I155" s="8">
        <f>IF(A155="","",Eingabe!$B$8-SUMIFS($F$2:F155,$D$2:D155,D155))</f>
        <v/>
      </c>
      <c r="J155" s="8">
        <f>IF(A155="","",IF(E155="",1E+99,IFERROR(VLOOKUP(E155,Eingabe!$D$5:$E$44,2,FALSE),Eingabe!$B$9)))</f>
        <v/>
      </c>
      <c r="K155" s="8">
        <f>IF(A155="","",IF(E155="",1E+99,J155-SUMIFS($F$2:F155,$E$2:E155,E155)))</f>
        <v/>
      </c>
      <c r="L155" s="5">
        <f>IF(A155="","",IF(OR(H155&lt;0,I155&lt;0,K155&lt;0),"UNMOEGLICH","OK"))</f>
        <v/>
      </c>
    </row>
    <row r="156">
      <c r="A156" s="7">
        <f>IF(ROW()-1&lt;=Eingabe!$B$4-Eingabe!$B$3+1,Eingabe!$B$3+ROW()-2,"")</f>
        <v/>
      </c>
      <c r="B156" s="5">
        <f>IF(A156="","",TEXT(A156,"yyyy-mm-dd"))</f>
        <v/>
      </c>
      <c r="C156" s="5">
        <f>IF(A156="","",TEXT(A156,"ddd"))</f>
        <v/>
      </c>
      <c r="D156" s="5">
        <f>IF(A156="","",TEXT(A156,"yyyy-mm"))</f>
        <v/>
      </c>
      <c r="E156" s="5">
        <f>IF(A156="","",IF(A156&lt;Eingabe!$B$5,"",INT((A156-Eingabe!$B$5)/(Eingabe!$B$6*7))+1))</f>
        <v/>
      </c>
      <c r="F156" s="8">
        <f>IF(A156="","",SUMPRODUCT((Eingabe!$B$16:$B$165&lt;&gt;"")*(Eingabe!$J$16:$J$165)*--(A156&gt;=Eingabe!$G$16:$G$165)*--(A156&lt;=Eingabe!$H$16:$H$165)*--(WEEKDAY(A156,2)&lt;=5)))</f>
        <v/>
      </c>
      <c r="G156" s="8">
        <f>IF(A156="","",SUM($F$2:F156))</f>
        <v/>
      </c>
      <c r="H156" s="8">
        <f>IF(A156="","",Eingabe!$B$7-G156)</f>
        <v/>
      </c>
      <c r="I156" s="8">
        <f>IF(A156="","",Eingabe!$B$8-SUMIFS($F$2:F156,$D$2:D156,D156))</f>
        <v/>
      </c>
      <c r="J156" s="8">
        <f>IF(A156="","",IF(E156="",1E+99,IFERROR(VLOOKUP(E156,Eingabe!$D$5:$E$44,2,FALSE),Eingabe!$B$9)))</f>
        <v/>
      </c>
      <c r="K156" s="8">
        <f>IF(A156="","",IF(E156="",1E+99,J156-SUMIFS($F$2:F156,$E$2:E156,E156)))</f>
        <v/>
      </c>
      <c r="L156" s="5">
        <f>IF(A156="","",IF(OR(H156&lt;0,I156&lt;0,K156&lt;0),"UNMOEGLICH","OK"))</f>
        <v/>
      </c>
    </row>
    <row r="157">
      <c r="A157" s="7">
        <f>IF(ROW()-1&lt;=Eingabe!$B$4-Eingabe!$B$3+1,Eingabe!$B$3+ROW()-2,"")</f>
        <v/>
      </c>
      <c r="B157" s="5">
        <f>IF(A157="","",TEXT(A157,"yyyy-mm-dd"))</f>
        <v/>
      </c>
      <c r="C157" s="5">
        <f>IF(A157="","",TEXT(A157,"ddd"))</f>
        <v/>
      </c>
      <c r="D157" s="5">
        <f>IF(A157="","",TEXT(A157,"yyyy-mm"))</f>
        <v/>
      </c>
      <c r="E157" s="5">
        <f>IF(A157="","",IF(A157&lt;Eingabe!$B$5,"",INT((A157-Eingabe!$B$5)/(Eingabe!$B$6*7))+1))</f>
        <v/>
      </c>
      <c r="F157" s="8">
        <f>IF(A157="","",SUMPRODUCT((Eingabe!$B$16:$B$165&lt;&gt;"")*(Eingabe!$J$16:$J$165)*--(A157&gt;=Eingabe!$G$16:$G$165)*--(A157&lt;=Eingabe!$H$16:$H$165)*--(WEEKDAY(A157,2)&lt;=5)))</f>
        <v/>
      </c>
      <c r="G157" s="8">
        <f>IF(A157="","",SUM($F$2:F157))</f>
        <v/>
      </c>
      <c r="H157" s="8">
        <f>IF(A157="","",Eingabe!$B$7-G157)</f>
        <v/>
      </c>
      <c r="I157" s="8">
        <f>IF(A157="","",Eingabe!$B$8-SUMIFS($F$2:F157,$D$2:D157,D157))</f>
        <v/>
      </c>
      <c r="J157" s="8">
        <f>IF(A157="","",IF(E157="",1E+99,IFERROR(VLOOKUP(E157,Eingabe!$D$5:$E$44,2,FALSE),Eingabe!$B$9)))</f>
        <v/>
      </c>
      <c r="K157" s="8">
        <f>IF(A157="","",IF(E157="",1E+99,J157-SUMIFS($F$2:F157,$E$2:E157,E157)))</f>
        <v/>
      </c>
      <c r="L157" s="5">
        <f>IF(A157="","",IF(OR(H157&lt;0,I157&lt;0,K157&lt;0),"UNMOEGLICH","OK"))</f>
        <v/>
      </c>
    </row>
    <row r="158">
      <c r="A158" s="7">
        <f>IF(ROW()-1&lt;=Eingabe!$B$4-Eingabe!$B$3+1,Eingabe!$B$3+ROW()-2,"")</f>
        <v/>
      </c>
      <c r="B158" s="5">
        <f>IF(A158="","",TEXT(A158,"yyyy-mm-dd"))</f>
        <v/>
      </c>
      <c r="C158" s="5">
        <f>IF(A158="","",TEXT(A158,"ddd"))</f>
        <v/>
      </c>
      <c r="D158" s="5">
        <f>IF(A158="","",TEXT(A158,"yyyy-mm"))</f>
        <v/>
      </c>
      <c r="E158" s="5">
        <f>IF(A158="","",IF(A158&lt;Eingabe!$B$5,"",INT((A158-Eingabe!$B$5)/(Eingabe!$B$6*7))+1))</f>
        <v/>
      </c>
      <c r="F158" s="8">
        <f>IF(A158="","",SUMPRODUCT((Eingabe!$B$16:$B$165&lt;&gt;"")*(Eingabe!$J$16:$J$165)*--(A158&gt;=Eingabe!$G$16:$G$165)*--(A158&lt;=Eingabe!$H$16:$H$165)*--(WEEKDAY(A158,2)&lt;=5)))</f>
        <v/>
      </c>
      <c r="G158" s="8">
        <f>IF(A158="","",SUM($F$2:F158))</f>
        <v/>
      </c>
      <c r="H158" s="8">
        <f>IF(A158="","",Eingabe!$B$7-G158)</f>
        <v/>
      </c>
      <c r="I158" s="8">
        <f>IF(A158="","",Eingabe!$B$8-SUMIFS($F$2:F158,$D$2:D158,D158))</f>
        <v/>
      </c>
      <c r="J158" s="8">
        <f>IF(A158="","",IF(E158="",1E+99,IFERROR(VLOOKUP(E158,Eingabe!$D$5:$E$44,2,FALSE),Eingabe!$B$9)))</f>
        <v/>
      </c>
      <c r="K158" s="8">
        <f>IF(A158="","",IF(E158="",1E+99,J158-SUMIFS($F$2:F158,$E$2:E158,E158)))</f>
        <v/>
      </c>
      <c r="L158" s="5">
        <f>IF(A158="","",IF(OR(H158&lt;0,I158&lt;0,K158&lt;0),"UNMOEGLICH","OK"))</f>
        <v/>
      </c>
    </row>
    <row r="159">
      <c r="A159" s="7">
        <f>IF(ROW()-1&lt;=Eingabe!$B$4-Eingabe!$B$3+1,Eingabe!$B$3+ROW()-2,"")</f>
        <v/>
      </c>
      <c r="B159" s="5">
        <f>IF(A159="","",TEXT(A159,"yyyy-mm-dd"))</f>
        <v/>
      </c>
      <c r="C159" s="5">
        <f>IF(A159="","",TEXT(A159,"ddd"))</f>
        <v/>
      </c>
      <c r="D159" s="5">
        <f>IF(A159="","",TEXT(A159,"yyyy-mm"))</f>
        <v/>
      </c>
      <c r="E159" s="5">
        <f>IF(A159="","",IF(A159&lt;Eingabe!$B$5,"",INT((A159-Eingabe!$B$5)/(Eingabe!$B$6*7))+1))</f>
        <v/>
      </c>
      <c r="F159" s="8">
        <f>IF(A159="","",SUMPRODUCT((Eingabe!$B$16:$B$165&lt;&gt;"")*(Eingabe!$J$16:$J$165)*--(A159&gt;=Eingabe!$G$16:$G$165)*--(A159&lt;=Eingabe!$H$16:$H$165)*--(WEEKDAY(A159,2)&lt;=5)))</f>
        <v/>
      </c>
      <c r="G159" s="8">
        <f>IF(A159="","",SUM($F$2:F159))</f>
        <v/>
      </c>
      <c r="H159" s="8">
        <f>IF(A159="","",Eingabe!$B$7-G159)</f>
        <v/>
      </c>
      <c r="I159" s="8">
        <f>IF(A159="","",Eingabe!$B$8-SUMIFS($F$2:F159,$D$2:D159,D159))</f>
        <v/>
      </c>
      <c r="J159" s="8">
        <f>IF(A159="","",IF(E159="",1E+99,IFERROR(VLOOKUP(E159,Eingabe!$D$5:$E$44,2,FALSE),Eingabe!$B$9)))</f>
        <v/>
      </c>
      <c r="K159" s="8">
        <f>IF(A159="","",IF(E159="",1E+99,J159-SUMIFS($F$2:F159,$E$2:E159,E159)))</f>
        <v/>
      </c>
      <c r="L159" s="5">
        <f>IF(A159="","",IF(OR(H159&lt;0,I159&lt;0,K159&lt;0),"UNMOEGLICH","OK"))</f>
        <v/>
      </c>
    </row>
    <row r="160">
      <c r="A160" s="7">
        <f>IF(ROW()-1&lt;=Eingabe!$B$4-Eingabe!$B$3+1,Eingabe!$B$3+ROW()-2,"")</f>
        <v/>
      </c>
      <c r="B160" s="5">
        <f>IF(A160="","",TEXT(A160,"yyyy-mm-dd"))</f>
        <v/>
      </c>
      <c r="C160" s="5">
        <f>IF(A160="","",TEXT(A160,"ddd"))</f>
        <v/>
      </c>
      <c r="D160" s="5">
        <f>IF(A160="","",TEXT(A160,"yyyy-mm"))</f>
        <v/>
      </c>
      <c r="E160" s="5">
        <f>IF(A160="","",IF(A160&lt;Eingabe!$B$5,"",INT((A160-Eingabe!$B$5)/(Eingabe!$B$6*7))+1))</f>
        <v/>
      </c>
      <c r="F160" s="8">
        <f>IF(A160="","",SUMPRODUCT((Eingabe!$B$16:$B$165&lt;&gt;"")*(Eingabe!$J$16:$J$165)*--(A160&gt;=Eingabe!$G$16:$G$165)*--(A160&lt;=Eingabe!$H$16:$H$165)*--(WEEKDAY(A160,2)&lt;=5)))</f>
        <v/>
      </c>
      <c r="G160" s="8">
        <f>IF(A160="","",SUM($F$2:F160))</f>
        <v/>
      </c>
      <c r="H160" s="8">
        <f>IF(A160="","",Eingabe!$B$7-G160)</f>
        <v/>
      </c>
      <c r="I160" s="8">
        <f>IF(A160="","",Eingabe!$B$8-SUMIFS($F$2:F160,$D$2:D160,D160))</f>
        <v/>
      </c>
      <c r="J160" s="8">
        <f>IF(A160="","",IF(E160="",1E+99,IFERROR(VLOOKUP(E160,Eingabe!$D$5:$E$44,2,FALSE),Eingabe!$B$9)))</f>
        <v/>
      </c>
      <c r="K160" s="8">
        <f>IF(A160="","",IF(E160="",1E+99,J160-SUMIFS($F$2:F160,$E$2:E160,E160)))</f>
        <v/>
      </c>
      <c r="L160" s="5">
        <f>IF(A160="","",IF(OR(H160&lt;0,I160&lt;0,K160&lt;0),"UNMOEGLICH","OK"))</f>
        <v/>
      </c>
    </row>
    <row r="161">
      <c r="A161" s="7">
        <f>IF(ROW()-1&lt;=Eingabe!$B$4-Eingabe!$B$3+1,Eingabe!$B$3+ROW()-2,"")</f>
        <v/>
      </c>
      <c r="B161" s="5">
        <f>IF(A161="","",TEXT(A161,"yyyy-mm-dd"))</f>
        <v/>
      </c>
      <c r="C161" s="5">
        <f>IF(A161="","",TEXT(A161,"ddd"))</f>
        <v/>
      </c>
      <c r="D161" s="5">
        <f>IF(A161="","",TEXT(A161,"yyyy-mm"))</f>
        <v/>
      </c>
      <c r="E161" s="5">
        <f>IF(A161="","",IF(A161&lt;Eingabe!$B$5,"",INT((A161-Eingabe!$B$5)/(Eingabe!$B$6*7))+1))</f>
        <v/>
      </c>
      <c r="F161" s="8">
        <f>IF(A161="","",SUMPRODUCT((Eingabe!$B$16:$B$165&lt;&gt;"")*(Eingabe!$J$16:$J$165)*--(A161&gt;=Eingabe!$G$16:$G$165)*--(A161&lt;=Eingabe!$H$16:$H$165)*--(WEEKDAY(A161,2)&lt;=5)))</f>
        <v/>
      </c>
      <c r="G161" s="8">
        <f>IF(A161="","",SUM($F$2:F161))</f>
        <v/>
      </c>
      <c r="H161" s="8">
        <f>IF(A161="","",Eingabe!$B$7-G161)</f>
        <v/>
      </c>
      <c r="I161" s="8">
        <f>IF(A161="","",Eingabe!$B$8-SUMIFS($F$2:F161,$D$2:D161,D161))</f>
        <v/>
      </c>
      <c r="J161" s="8">
        <f>IF(A161="","",IF(E161="",1E+99,IFERROR(VLOOKUP(E161,Eingabe!$D$5:$E$44,2,FALSE),Eingabe!$B$9)))</f>
        <v/>
      </c>
      <c r="K161" s="8">
        <f>IF(A161="","",IF(E161="",1E+99,J161-SUMIFS($F$2:F161,$E$2:E161,E161)))</f>
        <v/>
      </c>
      <c r="L161" s="5">
        <f>IF(A161="","",IF(OR(H161&lt;0,I161&lt;0,K161&lt;0),"UNMOEGLICH","OK"))</f>
        <v/>
      </c>
    </row>
    <row r="162">
      <c r="A162" s="7">
        <f>IF(ROW()-1&lt;=Eingabe!$B$4-Eingabe!$B$3+1,Eingabe!$B$3+ROW()-2,"")</f>
        <v/>
      </c>
      <c r="B162" s="5">
        <f>IF(A162="","",TEXT(A162,"yyyy-mm-dd"))</f>
        <v/>
      </c>
      <c r="C162" s="5">
        <f>IF(A162="","",TEXT(A162,"ddd"))</f>
        <v/>
      </c>
      <c r="D162" s="5">
        <f>IF(A162="","",TEXT(A162,"yyyy-mm"))</f>
        <v/>
      </c>
      <c r="E162" s="5">
        <f>IF(A162="","",IF(A162&lt;Eingabe!$B$5,"",INT((A162-Eingabe!$B$5)/(Eingabe!$B$6*7))+1))</f>
        <v/>
      </c>
      <c r="F162" s="8">
        <f>IF(A162="","",SUMPRODUCT((Eingabe!$B$16:$B$165&lt;&gt;"")*(Eingabe!$J$16:$J$165)*--(A162&gt;=Eingabe!$G$16:$G$165)*--(A162&lt;=Eingabe!$H$16:$H$165)*--(WEEKDAY(A162,2)&lt;=5)))</f>
        <v/>
      </c>
      <c r="G162" s="8">
        <f>IF(A162="","",SUM($F$2:F162))</f>
        <v/>
      </c>
      <c r="H162" s="8">
        <f>IF(A162="","",Eingabe!$B$7-G162)</f>
        <v/>
      </c>
      <c r="I162" s="8">
        <f>IF(A162="","",Eingabe!$B$8-SUMIFS($F$2:F162,$D$2:D162,D162))</f>
        <v/>
      </c>
      <c r="J162" s="8">
        <f>IF(A162="","",IF(E162="",1E+99,IFERROR(VLOOKUP(E162,Eingabe!$D$5:$E$44,2,FALSE),Eingabe!$B$9)))</f>
        <v/>
      </c>
      <c r="K162" s="8">
        <f>IF(A162="","",IF(E162="",1E+99,J162-SUMIFS($F$2:F162,$E$2:E162,E162)))</f>
        <v/>
      </c>
      <c r="L162" s="5">
        <f>IF(A162="","",IF(OR(H162&lt;0,I162&lt;0,K162&lt;0),"UNMOEGLICH","OK"))</f>
        <v/>
      </c>
    </row>
    <row r="163">
      <c r="A163" s="7">
        <f>IF(ROW()-1&lt;=Eingabe!$B$4-Eingabe!$B$3+1,Eingabe!$B$3+ROW()-2,"")</f>
        <v/>
      </c>
      <c r="B163" s="5">
        <f>IF(A163="","",TEXT(A163,"yyyy-mm-dd"))</f>
        <v/>
      </c>
      <c r="C163" s="5">
        <f>IF(A163="","",TEXT(A163,"ddd"))</f>
        <v/>
      </c>
      <c r="D163" s="5">
        <f>IF(A163="","",TEXT(A163,"yyyy-mm"))</f>
        <v/>
      </c>
      <c r="E163" s="5">
        <f>IF(A163="","",IF(A163&lt;Eingabe!$B$5,"",INT((A163-Eingabe!$B$5)/(Eingabe!$B$6*7))+1))</f>
        <v/>
      </c>
      <c r="F163" s="8">
        <f>IF(A163="","",SUMPRODUCT((Eingabe!$B$16:$B$165&lt;&gt;"")*(Eingabe!$J$16:$J$165)*--(A163&gt;=Eingabe!$G$16:$G$165)*--(A163&lt;=Eingabe!$H$16:$H$165)*--(WEEKDAY(A163,2)&lt;=5)))</f>
        <v/>
      </c>
      <c r="G163" s="8">
        <f>IF(A163="","",SUM($F$2:F163))</f>
        <v/>
      </c>
      <c r="H163" s="8">
        <f>IF(A163="","",Eingabe!$B$7-G163)</f>
        <v/>
      </c>
      <c r="I163" s="8">
        <f>IF(A163="","",Eingabe!$B$8-SUMIFS($F$2:F163,$D$2:D163,D163))</f>
        <v/>
      </c>
      <c r="J163" s="8">
        <f>IF(A163="","",IF(E163="",1E+99,IFERROR(VLOOKUP(E163,Eingabe!$D$5:$E$44,2,FALSE),Eingabe!$B$9)))</f>
        <v/>
      </c>
      <c r="K163" s="8">
        <f>IF(A163="","",IF(E163="",1E+99,J163-SUMIFS($F$2:F163,$E$2:E163,E163)))</f>
        <v/>
      </c>
      <c r="L163" s="5">
        <f>IF(A163="","",IF(OR(H163&lt;0,I163&lt;0,K163&lt;0),"UNMOEGLICH","OK"))</f>
        <v/>
      </c>
    </row>
    <row r="164">
      <c r="A164" s="7">
        <f>IF(ROW()-1&lt;=Eingabe!$B$4-Eingabe!$B$3+1,Eingabe!$B$3+ROW()-2,"")</f>
        <v/>
      </c>
      <c r="B164" s="5">
        <f>IF(A164="","",TEXT(A164,"yyyy-mm-dd"))</f>
        <v/>
      </c>
      <c r="C164" s="5">
        <f>IF(A164="","",TEXT(A164,"ddd"))</f>
        <v/>
      </c>
      <c r="D164" s="5">
        <f>IF(A164="","",TEXT(A164,"yyyy-mm"))</f>
        <v/>
      </c>
      <c r="E164" s="5">
        <f>IF(A164="","",IF(A164&lt;Eingabe!$B$5,"",INT((A164-Eingabe!$B$5)/(Eingabe!$B$6*7))+1))</f>
        <v/>
      </c>
      <c r="F164" s="8">
        <f>IF(A164="","",SUMPRODUCT((Eingabe!$B$16:$B$165&lt;&gt;"")*(Eingabe!$J$16:$J$165)*--(A164&gt;=Eingabe!$G$16:$G$165)*--(A164&lt;=Eingabe!$H$16:$H$165)*--(WEEKDAY(A164,2)&lt;=5)))</f>
        <v/>
      </c>
      <c r="G164" s="8">
        <f>IF(A164="","",SUM($F$2:F164))</f>
        <v/>
      </c>
      <c r="H164" s="8">
        <f>IF(A164="","",Eingabe!$B$7-G164)</f>
        <v/>
      </c>
      <c r="I164" s="8">
        <f>IF(A164="","",Eingabe!$B$8-SUMIFS($F$2:F164,$D$2:D164,D164))</f>
        <v/>
      </c>
      <c r="J164" s="8">
        <f>IF(A164="","",IF(E164="",1E+99,IFERROR(VLOOKUP(E164,Eingabe!$D$5:$E$44,2,FALSE),Eingabe!$B$9)))</f>
        <v/>
      </c>
      <c r="K164" s="8">
        <f>IF(A164="","",IF(E164="",1E+99,J164-SUMIFS($F$2:F164,$E$2:E164,E164)))</f>
        <v/>
      </c>
      <c r="L164" s="5">
        <f>IF(A164="","",IF(OR(H164&lt;0,I164&lt;0,K164&lt;0),"UNMOEGLICH","OK"))</f>
        <v/>
      </c>
    </row>
    <row r="165">
      <c r="A165" s="7">
        <f>IF(ROW()-1&lt;=Eingabe!$B$4-Eingabe!$B$3+1,Eingabe!$B$3+ROW()-2,"")</f>
        <v/>
      </c>
      <c r="B165" s="5">
        <f>IF(A165="","",TEXT(A165,"yyyy-mm-dd"))</f>
        <v/>
      </c>
      <c r="C165" s="5">
        <f>IF(A165="","",TEXT(A165,"ddd"))</f>
        <v/>
      </c>
      <c r="D165" s="5">
        <f>IF(A165="","",TEXT(A165,"yyyy-mm"))</f>
        <v/>
      </c>
      <c r="E165" s="5">
        <f>IF(A165="","",IF(A165&lt;Eingabe!$B$5,"",INT((A165-Eingabe!$B$5)/(Eingabe!$B$6*7))+1))</f>
        <v/>
      </c>
      <c r="F165" s="8">
        <f>IF(A165="","",SUMPRODUCT((Eingabe!$B$16:$B$165&lt;&gt;"")*(Eingabe!$J$16:$J$165)*--(A165&gt;=Eingabe!$G$16:$G$165)*--(A165&lt;=Eingabe!$H$16:$H$165)*--(WEEKDAY(A165,2)&lt;=5)))</f>
        <v/>
      </c>
      <c r="G165" s="8">
        <f>IF(A165="","",SUM($F$2:F165))</f>
        <v/>
      </c>
      <c r="H165" s="8">
        <f>IF(A165="","",Eingabe!$B$7-G165)</f>
        <v/>
      </c>
      <c r="I165" s="8">
        <f>IF(A165="","",Eingabe!$B$8-SUMIFS($F$2:F165,$D$2:D165,D165))</f>
        <v/>
      </c>
      <c r="J165" s="8">
        <f>IF(A165="","",IF(E165="",1E+99,IFERROR(VLOOKUP(E165,Eingabe!$D$5:$E$44,2,FALSE),Eingabe!$B$9)))</f>
        <v/>
      </c>
      <c r="K165" s="8">
        <f>IF(A165="","",IF(E165="",1E+99,J165-SUMIFS($F$2:F165,$E$2:E165,E165)))</f>
        <v/>
      </c>
      <c r="L165" s="5">
        <f>IF(A165="","",IF(OR(H165&lt;0,I165&lt;0,K165&lt;0),"UNMOEGLICH","OK"))</f>
        <v/>
      </c>
    </row>
    <row r="166">
      <c r="A166" s="7">
        <f>IF(ROW()-1&lt;=Eingabe!$B$4-Eingabe!$B$3+1,Eingabe!$B$3+ROW()-2,"")</f>
        <v/>
      </c>
      <c r="B166" s="5">
        <f>IF(A166="","",TEXT(A166,"yyyy-mm-dd"))</f>
        <v/>
      </c>
      <c r="C166" s="5">
        <f>IF(A166="","",TEXT(A166,"ddd"))</f>
        <v/>
      </c>
      <c r="D166" s="5">
        <f>IF(A166="","",TEXT(A166,"yyyy-mm"))</f>
        <v/>
      </c>
      <c r="E166" s="5">
        <f>IF(A166="","",IF(A166&lt;Eingabe!$B$5,"",INT((A166-Eingabe!$B$5)/(Eingabe!$B$6*7))+1))</f>
        <v/>
      </c>
      <c r="F166" s="8">
        <f>IF(A166="","",SUMPRODUCT((Eingabe!$B$16:$B$165&lt;&gt;"")*(Eingabe!$J$16:$J$165)*--(A166&gt;=Eingabe!$G$16:$G$165)*--(A166&lt;=Eingabe!$H$16:$H$165)*--(WEEKDAY(A166,2)&lt;=5)))</f>
        <v/>
      </c>
      <c r="G166" s="8">
        <f>IF(A166="","",SUM($F$2:F166))</f>
        <v/>
      </c>
      <c r="H166" s="8">
        <f>IF(A166="","",Eingabe!$B$7-G166)</f>
        <v/>
      </c>
      <c r="I166" s="8">
        <f>IF(A166="","",Eingabe!$B$8-SUMIFS($F$2:F166,$D$2:D166,D166))</f>
        <v/>
      </c>
      <c r="J166" s="8">
        <f>IF(A166="","",IF(E166="",1E+99,IFERROR(VLOOKUP(E166,Eingabe!$D$5:$E$44,2,FALSE),Eingabe!$B$9)))</f>
        <v/>
      </c>
      <c r="K166" s="8">
        <f>IF(A166="","",IF(E166="",1E+99,J166-SUMIFS($F$2:F166,$E$2:E166,E166)))</f>
        <v/>
      </c>
      <c r="L166" s="5">
        <f>IF(A166="","",IF(OR(H166&lt;0,I166&lt;0,K166&lt;0),"UNMOEGLICH","OK"))</f>
        <v/>
      </c>
    </row>
    <row r="167">
      <c r="A167" s="7">
        <f>IF(ROW()-1&lt;=Eingabe!$B$4-Eingabe!$B$3+1,Eingabe!$B$3+ROW()-2,"")</f>
        <v/>
      </c>
      <c r="B167" s="5">
        <f>IF(A167="","",TEXT(A167,"yyyy-mm-dd"))</f>
        <v/>
      </c>
      <c r="C167" s="5">
        <f>IF(A167="","",TEXT(A167,"ddd"))</f>
        <v/>
      </c>
      <c r="D167" s="5">
        <f>IF(A167="","",TEXT(A167,"yyyy-mm"))</f>
        <v/>
      </c>
      <c r="E167" s="5">
        <f>IF(A167="","",IF(A167&lt;Eingabe!$B$5,"",INT((A167-Eingabe!$B$5)/(Eingabe!$B$6*7))+1))</f>
        <v/>
      </c>
      <c r="F167" s="8">
        <f>IF(A167="","",SUMPRODUCT((Eingabe!$B$16:$B$165&lt;&gt;"")*(Eingabe!$J$16:$J$165)*--(A167&gt;=Eingabe!$G$16:$G$165)*--(A167&lt;=Eingabe!$H$16:$H$165)*--(WEEKDAY(A167,2)&lt;=5)))</f>
        <v/>
      </c>
      <c r="G167" s="8">
        <f>IF(A167="","",SUM($F$2:F167))</f>
        <v/>
      </c>
      <c r="H167" s="8">
        <f>IF(A167="","",Eingabe!$B$7-G167)</f>
        <v/>
      </c>
      <c r="I167" s="8">
        <f>IF(A167="","",Eingabe!$B$8-SUMIFS($F$2:F167,$D$2:D167,D167))</f>
        <v/>
      </c>
      <c r="J167" s="8">
        <f>IF(A167="","",IF(E167="",1E+99,IFERROR(VLOOKUP(E167,Eingabe!$D$5:$E$44,2,FALSE),Eingabe!$B$9)))</f>
        <v/>
      </c>
      <c r="K167" s="8">
        <f>IF(A167="","",IF(E167="",1E+99,J167-SUMIFS($F$2:F167,$E$2:E167,E167)))</f>
        <v/>
      </c>
      <c r="L167" s="5">
        <f>IF(A167="","",IF(OR(H167&lt;0,I167&lt;0,K167&lt;0),"UNMOEGLICH","OK"))</f>
        <v/>
      </c>
    </row>
    <row r="168">
      <c r="A168" s="7">
        <f>IF(ROW()-1&lt;=Eingabe!$B$4-Eingabe!$B$3+1,Eingabe!$B$3+ROW()-2,"")</f>
        <v/>
      </c>
      <c r="B168" s="5">
        <f>IF(A168="","",TEXT(A168,"yyyy-mm-dd"))</f>
        <v/>
      </c>
      <c r="C168" s="5">
        <f>IF(A168="","",TEXT(A168,"ddd"))</f>
        <v/>
      </c>
      <c r="D168" s="5">
        <f>IF(A168="","",TEXT(A168,"yyyy-mm"))</f>
        <v/>
      </c>
      <c r="E168" s="5">
        <f>IF(A168="","",IF(A168&lt;Eingabe!$B$5,"",INT((A168-Eingabe!$B$5)/(Eingabe!$B$6*7))+1))</f>
        <v/>
      </c>
      <c r="F168" s="8">
        <f>IF(A168="","",SUMPRODUCT((Eingabe!$B$16:$B$165&lt;&gt;"")*(Eingabe!$J$16:$J$165)*--(A168&gt;=Eingabe!$G$16:$G$165)*--(A168&lt;=Eingabe!$H$16:$H$165)*--(WEEKDAY(A168,2)&lt;=5)))</f>
        <v/>
      </c>
      <c r="G168" s="8">
        <f>IF(A168="","",SUM($F$2:F168))</f>
        <v/>
      </c>
      <c r="H168" s="8">
        <f>IF(A168="","",Eingabe!$B$7-G168)</f>
        <v/>
      </c>
      <c r="I168" s="8">
        <f>IF(A168="","",Eingabe!$B$8-SUMIFS($F$2:F168,$D$2:D168,D168))</f>
        <v/>
      </c>
      <c r="J168" s="8">
        <f>IF(A168="","",IF(E168="",1E+99,IFERROR(VLOOKUP(E168,Eingabe!$D$5:$E$44,2,FALSE),Eingabe!$B$9)))</f>
        <v/>
      </c>
      <c r="K168" s="8">
        <f>IF(A168="","",IF(E168="",1E+99,J168-SUMIFS($F$2:F168,$E$2:E168,E168)))</f>
        <v/>
      </c>
      <c r="L168" s="5">
        <f>IF(A168="","",IF(OR(H168&lt;0,I168&lt;0,K168&lt;0),"UNMOEGLICH","OK"))</f>
        <v/>
      </c>
    </row>
    <row r="169">
      <c r="A169" s="7">
        <f>IF(ROW()-1&lt;=Eingabe!$B$4-Eingabe!$B$3+1,Eingabe!$B$3+ROW()-2,"")</f>
        <v/>
      </c>
      <c r="B169" s="5">
        <f>IF(A169="","",TEXT(A169,"yyyy-mm-dd"))</f>
        <v/>
      </c>
      <c r="C169" s="5">
        <f>IF(A169="","",TEXT(A169,"ddd"))</f>
        <v/>
      </c>
      <c r="D169" s="5">
        <f>IF(A169="","",TEXT(A169,"yyyy-mm"))</f>
        <v/>
      </c>
      <c r="E169" s="5">
        <f>IF(A169="","",IF(A169&lt;Eingabe!$B$5,"",INT((A169-Eingabe!$B$5)/(Eingabe!$B$6*7))+1))</f>
        <v/>
      </c>
      <c r="F169" s="8">
        <f>IF(A169="","",SUMPRODUCT((Eingabe!$B$16:$B$165&lt;&gt;"")*(Eingabe!$J$16:$J$165)*--(A169&gt;=Eingabe!$G$16:$G$165)*--(A169&lt;=Eingabe!$H$16:$H$165)*--(WEEKDAY(A169,2)&lt;=5)))</f>
        <v/>
      </c>
      <c r="G169" s="8">
        <f>IF(A169="","",SUM($F$2:F169))</f>
        <v/>
      </c>
      <c r="H169" s="8">
        <f>IF(A169="","",Eingabe!$B$7-G169)</f>
        <v/>
      </c>
      <c r="I169" s="8">
        <f>IF(A169="","",Eingabe!$B$8-SUMIFS($F$2:F169,$D$2:D169,D169))</f>
        <v/>
      </c>
      <c r="J169" s="8">
        <f>IF(A169="","",IF(E169="",1E+99,IFERROR(VLOOKUP(E169,Eingabe!$D$5:$E$44,2,FALSE),Eingabe!$B$9)))</f>
        <v/>
      </c>
      <c r="K169" s="8">
        <f>IF(A169="","",IF(E169="",1E+99,J169-SUMIFS($F$2:F169,$E$2:E169,E169)))</f>
        <v/>
      </c>
      <c r="L169" s="5">
        <f>IF(A169="","",IF(OR(H169&lt;0,I169&lt;0,K169&lt;0),"UNMOEGLICH","OK"))</f>
        <v/>
      </c>
    </row>
    <row r="170">
      <c r="A170" s="7">
        <f>IF(ROW()-1&lt;=Eingabe!$B$4-Eingabe!$B$3+1,Eingabe!$B$3+ROW()-2,"")</f>
        <v/>
      </c>
      <c r="B170" s="5">
        <f>IF(A170="","",TEXT(A170,"yyyy-mm-dd"))</f>
        <v/>
      </c>
      <c r="C170" s="5">
        <f>IF(A170="","",TEXT(A170,"ddd"))</f>
        <v/>
      </c>
      <c r="D170" s="5">
        <f>IF(A170="","",TEXT(A170,"yyyy-mm"))</f>
        <v/>
      </c>
      <c r="E170" s="5">
        <f>IF(A170="","",IF(A170&lt;Eingabe!$B$5,"",INT((A170-Eingabe!$B$5)/(Eingabe!$B$6*7))+1))</f>
        <v/>
      </c>
      <c r="F170" s="8">
        <f>IF(A170="","",SUMPRODUCT((Eingabe!$B$16:$B$165&lt;&gt;"")*(Eingabe!$J$16:$J$165)*--(A170&gt;=Eingabe!$G$16:$G$165)*--(A170&lt;=Eingabe!$H$16:$H$165)*--(WEEKDAY(A170,2)&lt;=5)))</f>
        <v/>
      </c>
      <c r="G170" s="8">
        <f>IF(A170="","",SUM($F$2:F170))</f>
        <v/>
      </c>
      <c r="H170" s="8">
        <f>IF(A170="","",Eingabe!$B$7-G170)</f>
        <v/>
      </c>
      <c r="I170" s="8">
        <f>IF(A170="","",Eingabe!$B$8-SUMIFS($F$2:F170,$D$2:D170,D170))</f>
        <v/>
      </c>
      <c r="J170" s="8">
        <f>IF(A170="","",IF(E170="",1E+99,IFERROR(VLOOKUP(E170,Eingabe!$D$5:$E$44,2,FALSE),Eingabe!$B$9)))</f>
        <v/>
      </c>
      <c r="K170" s="8">
        <f>IF(A170="","",IF(E170="",1E+99,J170-SUMIFS($F$2:F170,$E$2:E170,E170)))</f>
        <v/>
      </c>
      <c r="L170" s="5">
        <f>IF(A170="","",IF(OR(H170&lt;0,I170&lt;0,K170&lt;0),"UNMOEGLICH","OK"))</f>
        <v/>
      </c>
    </row>
    <row r="171">
      <c r="A171" s="7">
        <f>IF(ROW()-1&lt;=Eingabe!$B$4-Eingabe!$B$3+1,Eingabe!$B$3+ROW()-2,"")</f>
        <v/>
      </c>
      <c r="B171" s="5">
        <f>IF(A171="","",TEXT(A171,"yyyy-mm-dd"))</f>
        <v/>
      </c>
      <c r="C171" s="5">
        <f>IF(A171="","",TEXT(A171,"ddd"))</f>
        <v/>
      </c>
      <c r="D171" s="5">
        <f>IF(A171="","",TEXT(A171,"yyyy-mm"))</f>
        <v/>
      </c>
      <c r="E171" s="5">
        <f>IF(A171="","",IF(A171&lt;Eingabe!$B$5,"",INT((A171-Eingabe!$B$5)/(Eingabe!$B$6*7))+1))</f>
        <v/>
      </c>
      <c r="F171" s="8">
        <f>IF(A171="","",SUMPRODUCT((Eingabe!$B$16:$B$165&lt;&gt;"")*(Eingabe!$J$16:$J$165)*--(A171&gt;=Eingabe!$G$16:$G$165)*--(A171&lt;=Eingabe!$H$16:$H$165)*--(WEEKDAY(A171,2)&lt;=5)))</f>
        <v/>
      </c>
      <c r="G171" s="8">
        <f>IF(A171="","",SUM($F$2:F171))</f>
        <v/>
      </c>
      <c r="H171" s="8">
        <f>IF(A171="","",Eingabe!$B$7-G171)</f>
        <v/>
      </c>
      <c r="I171" s="8">
        <f>IF(A171="","",Eingabe!$B$8-SUMIFS($F$2:F171,$D$2:D171,D171))</f>
        <v/>
      </c>
      <c r="J171" s="8">
        <f>IF(A171="","",IF(E171="",1E+99,IFERROR(VLOOKUP(E171,Eingabe!$D$5:$E$44,2,FALSE),Eingabe!$B$9)))</f>
        <v/>
      </c>
      <c r="K171" s="8">
        <f>IF(A171="","",IF(E171="",1E+99,J171-SUMIFS($F$2:F171,$E$2:E171,E171)))</f>
        <v/>
      </c>
      <c r="L171" s="5">
        <f>IF(A171="","",IF(OR(H171&lt;0,I171&lt;0,K171&lt;0),"UNMOEGLICH","OK"))</f>
        <v/>
      </c>
    </row>
    <row r="172">
      <c r="A172" s="7">
        <f>IF(ROW()-1&lt;=Eingabe!$B$4-Eingabe!$B$3+1,Eingabe!$B$3+ROW()-2,"")</f>
        <v/>
      </c>
      <c r="B172" s="5">
        <f>IF(A172="","",TEXT(A172,"yyyy-mm-dd"))</f>
        <v/>
      </c>
      <c r="C172" s="5">
        <f>IF(A172="","",TEXT(A172,"ddd"))</f>
        <v/>
      </c>
      <c r="D172" s="5">
        <f>IF(A172="","",TEXT(A172,"yyyy-mm"))</f>
        <v/>
      </c>
      <c r="E172" s="5">
        <f>IF(A172="","",IF(A172&lt;Eingabe!$B$5,"",INT((A172-Eingabe!$B$5)/(Eingabe!$B$6*7))+1))</f>
        <v/>
      </c>
      <c r="F172" s="8">
        <f>IF(A172="","",SUMPRODUCT((Eingabe!$B$16:$B$165&lt;&gt;"")*(Eingabe!$J$16:$J$165)*--(A172&gt;=Eingabe!$G$16:$G$165)*--(A172&lt;=Eingabe!$H$16:$H$165)*--(WEEKDAY(A172,2)&lt;=5)))</f>
        <v/>
      </c>
      <c r="G172" s="8">
        <f>IF(A172="","",SUM($F$2:F172))</f>
        <v/>
      </c>
      <c r="H172" s="8">
        <f>IF(A172="","",Eingabe!$B$7-G172)</f>
        <v/>
      </c>
      <c r="I172" s="8">
        <f>IF(A172="","",Eingabe!$B$8-SUMIFS($F$2:F172,$D$2:D172,D172))</f>
        <v/>
      </c>
      <c r="J172" s="8">
        <f>IF(A172="","",IF(E172="",1E+99,IFERROR(VLOOKUP(E172,Eingabe!$D$5:$E$44,2,FALSE),Eingabe!$B$9)))</f>
        <v/>
      </c>
      <c r="K172" s="8">
        <f>IF(A172="","",IF(E172="",1E+99,J172-SUMIFS($F$2:F172,$E$2:E172,E172)))</f>
        <v/>
      </c>
      <c r="L172" s="5">
        <f>IF(A172="","",IF(OR(H172&lt;0,I172&lt;0,K172&lt;0),"UNMOEGLICH","OK"))</f>
        <v/>
      </c>
    </row>
    <row r="173">
      <c r="A173" s="7">
        <f>IF(ROW()-1&lt;=Eingabe!$B$4-Eingabe!$B$3+1,Eingabe!$B$3+ROW()-2,"")</f>
        <v/>
      </c>
      <c r="B173" s="5">
        <f>IF(A173="","",TEXT(A173,"yyyy-mm-dd"))</f>
        <v/>
      </c>
      <c r="C173" s="5">
        <f>IF(A173="","",TEXT(A173,"ddd"))</f>
        <v/>
      </c>
      <c r="D173" s="5">
        <f>IF(A173="","",TEXT(A173,"yyyy-mm"))</f>
        <v/>
      </c>
      <c r="E173" s="5">
        <f>IF(A173="","",IF(A173&lt;Eingabe!$B$5,"",INT((A173-Eingabe!$B$5)/(Eingabe!$B$6*7))+1))</f>
        <v/>
      </c>
      <c r="F173" s="8">
        <f>IF(A173="","",SUMPRODUCT((Eingabe!$B$16:$B$165&lt;&gt;"")*(Eingabe!$J$16:$J$165)*--(A173&gt;=Eingabe!$G$16:$G$165)*--(A173&lt;=Eingabe!$H$16:$H$165)*--(WEEKDAY(A173,2)&lt;=5)))</f>
        <v/>
      </c>
      <c r="G173" s="8">
        <f>IF(A173="","",SUM($F$2:F173))</f>
        <v/>
      </c>
      <c r="H173" s="8">
        <f>IF(A173="","",Eingabe!$B$7-G173)</f>
        <v/>
      </c>
      <c r="I173" s="8">
        <f>IF(A173="","",Eingabe!$B$8-SUMIFS($F$2:F173,$D$2:D173,D173))</f>
        <v/>
      </c>
      <c r="J173" s="8">
        <f>IF(A173="","",IF(E173="",1E+99,IFERROR(VLOOKUP(E173,Eingabe!$D$5:$E$44,2,FALSE),Eingabe!$B$9)))</f>
        <v/>
      </c>
      <c r="K173" s="8">
        <f>IF(A173="","",IF(E173="",1E+99,J173-SUMIFS($F$2:F173,$E$2:E173,E173)))</f>
        <v/>
      </c>
      <c r="L173" s="5">
        <f>IF(A173="","",IF(OR(H173&lt;0,I173&lt;0,K173&lt;0),"UNMOEGLICH","OK"))</f>
        <v/>
      </c>
    </row>
    <row r="174">
      <c r="A174" s="7">
        <f>IF(ROW()-1&lt;=Eingabe!$B$4-Eingabe!$B$3+1,Eingabe!$B$3+ROW()-2,"")</f>
        <v/>
      </c>
      <c r="B174" s="5">
        <f>IF(A174="","",TEXT(A174,"yyyy-mm-dd"))</f>
        <v/>
      </c>
      <c r="C174" s="5">
        <f>IF(A174="","",TEXT(A174,"ddd"))</f>
        <v/>
      </c>
      <c r="D174" s="5">
        <f>IF(A174="","",TEXT(A174,"yyyy-mm"))</f>
        <v/>
      </c>
      <c r="E174" s="5">
        <f>IF(A174="","",IF(A174&lt;Eingabe!$B$5,"",INT((A174-Eingabe!$B$5)/(Eingabe!$B$6*7))+1))</f>
        <v/>
      </c>
      <c r="F174" s="8">
        <f>IF(A174="","",SUMPRODUCT((Eingabe!$B$16:$B$165&lt;&gt;"")*(Eingabe!$J$16:$J$165)*--(A174&gt;=Eingabe!$G$16:$G$165)*--(A174&lt;=Eingabe!$H$16:$H$165)*--(WEEKDAY(A174,2)&lt;=5)))</f>
        <v/>
      </c>
      <c r="G174" s="8">
        <f>IF(A174="","",SUM($F$2:F174))</f>
        <v/>
      </c>
      <c r="H174" s="8">
        <f>IF(A174="","",Eingabe!$B$7-G174)</f>
        <v/>
      </c>
      <c r="I174" s="8">
        <f>IF(A174="","",Eingabe!$B$8-SUMIFS($F$2:F174,$D$2:D174,D174))</f>
        <v/>
      </c>
      <c r="J174" s="8">
        <f>IF(A174="","",IF(E174="",1E+99,IFERROR(VLOOKUP(E174,Eingabe!$D$5:$E$44,2,FALSE),Eingabe!$B$9)))</f>
        <v/>
      </c>
      <c r="K174" s="8">
        <f>IF(A174="","",IF(E174="",1E+99,J174-SUMIFS($F$2:F174,$E$2:E174,E174)))</f>
        <v/>
      </c>
      <c r="L174" s="5">
        <f>IF(A174="","",IF(OR(H174&lt;0,I174&lt;0,K174&lt;0),"UNMOEGLICH","OK"))</f>
        <v/>
      </c>
    </row>
    <row r="175">
      <c r="A175" s="7">
        <f>IF(ROW()-1&lt;=Eingabe!$B$4-Eingabe!$B$3+1,Eingabe!$B$3+ROW()-2,"")</f>
        <v/>
      </c>
      <c r="B175" s="5">
        <f>IF(A175="","",TEXT(A175,"yyyy-mm-dd"))</f>
        <v/>
      </c>
      <c r="C175" s="5">
        <f>IF(A175="","",TEXT(A175,"ddd"))</f>
        <v/>
      </c>
      <c r="D175" s="5">
        <f>IF(A175="","",TEXT(A175,"yyyy-mm"))</f>
        <v/>
      </c>
      <c r="E175" s="5">
        <f>IF(A175="","",IF(A175&lt;Eingabe!$B$5,"",INT((A175-Eingabe!$B$5)/(Eingabe!$B$6*7))+1))</f>
        <v/>
      </c>
      <c r="F175" s="8">
        <f>IF(A175="","",SUMPRODUCT((Eingabe!$B$16:$B$165&lt;&gt;"")*(Eingabe!$J$16:$J$165)*--(A175&gt;=Eingabe!$G$16:$G$165)*--(A175&lt;=Eingabe!$H$16:$H$165)*--(WEEKDAY(A175,2)&lt;=5)))</f>
        <v/>
      </c>
      <c r="G175" s="8">
        <f>IF(A175="","",SUM($F$2:F175))</f>
        <v/>
      </c>
      <c r="H175" s="8">
        <f>IF(A175="","",Eingabe!$B$7-G175)</f>
        <v/>
      </c>
      <c r="I175" s="8">
        <f>IF(A175="","",Eingabe!$B$8-SUMIFS($F$2:F175,$D$2:D175,D175))</f>
        <v/>
      </c>
      <c r="J175" s="8">
        <f>IF(A175="","",IF(E175="",1E+99,IFERROR(VLOOKUP(E175,Eingabe!$D$5:$E$44,2,FALSE),Eingabe!$B$9)))</f>
        <v/>
      </c>
      <c r="K175" s="8">
        <f>IF(A175="","",IF(E175="",1E+99,J175-SUMIFS($F$2:F175,$E$2:E175,E175)))</f>
        <v/>
      </c>
      <c r="L175" s="5">
        <f>IF(A175="","",IF(OR(H175&lt;0,I175&lt;0,K175&lt;0),"UNMOEGLICH","OK"))</f>
        <v/>
      </c>
    </row>
    <row r="176">
      <c r="A176" s="7">
        <f>IF(ROW()-1&lt;=Eingabe!$B$4-Eingabe!$B$3+1,Eingabe!$B$3+ROW()-2,"")</f>
        <v/>
      </c>
      <c r="B176" s="5">
        <f>IF(A176="","",TEXT(A176,"yyyy-mm-dd"))</f>
        <v/>
      </c>
      <c r="C176" s="5">
        <f>IF(A176="","",TEXT(A176,"ddd"))</f>
        <v/>
      </c>
      <c r="D176" s="5">
        <f>IF(A176="","",TEXT(A176,"yyyy-mm"))</f>
        <v/>
      </c>
      <c r="E176" s="5">
        <f>IF(A176="","",IF(A176&lt;Eingabe!$B$5,"",INT((A176-Eingabe!$B$5)/(Eingabe!$B$6*7))+1))</f>
        <v/>
      </c>
      <c r="F176" s="8">
        <f>IF(A176="","",SUMPRODUCT((Eingabe!$B$16:$B$165&lt;&gt;"")*(Eingabe!$J$16:$J$165)*--(A176&gt;=Eingabe!$G$16:$G$165)*--(A176&lt;=Eingabe!$H$16:$H$165)*--(WEEKDAY(A176,2)&lt;=5)))</f>
        <v/>
      </c>
      <c r="G176" s="8">
        <f>IF(A176="","",SUM($F$2:F176))</f>
        <v/>
      </c>
      <c r="H176" s="8">
        <f>IF(A176="","",Eingabe!$B$7-G176)</f>
        <v/>
      </c>
      <c r="I176" s="8">
        <f>IF(A176="","",Eingabe!$B$8-SUMIFS($F$2:F176,$D$2:D176,D176))</f>
        <v/>
      </c>
      <c r="J176" s="8">
        <f>IF(A176="","",IF(E176="",1E+99,IFERROR(VLOOKUP(E176,Eingabe!$D$5:$E$44,2,FALSE),Eingabe!$B$9)))</f>
        <v/>
      </c>
      <c r="K176" s="8">
        <f>IF(A176="","",IF(E176="",1E+99,J176-SUMIFS($F$2:F176,$E$2:E176,E176)))</f>
        <v/>
      </c>
      <c r="L176" s="5">
        <f>IF(A176="","",IF(OR(H176&lt;0,I176&lt;0,K176&lt;0),"UNMOEGLICH","OK"))</f>
        <v/>
      </c>
    </row>
    <row r="177">
      <c r="A177" s="7">
        <f>IF(ROW()-1&lt;=Eingabe!$B$4-Eingabe!$B$3+1,Eingabe!$B$3+ROW()-2,"")</f>
        <v/>
      </c>
      <c r="B177" s="5">
        <f>IF(A177="","",TEXT(A177,"yyyy-mm-dd"))</f>
        <v/>
      </c>
      <c r="C177" s="5">
        <f>IF(A177="","",TEXT(A177,"ddd"))</f>
        <v/>
      </c>
      <c r="D177" s="5">
        <f>IF(A177="","",TEXT(A177,"yyyy-mm"))</f>
        <v/>
      </c>
      <c r="E177" s="5">
        <f>IF(A177="","",IF(A177&lt;Eingabe!$B$5,"",INT((A177-Eingabe!$B$5)/(Eingabe!$B$6*7))+1))</f>
        <v/>
      </c>
      <c r="F177" s="8">
        <f>IF(A177="","",SUMPRODUCT((Eingabe!$B$16:$B$165&lt;&gt;"")*(Eingabe!$J$16:$J$165)*--(A177&gt;=Eingabe!$G$16:$G$165)*--(A177&lt;=Eingabe!$H$16:$H$165)*--(WEEKDAY(A177,2)&lt;=5)))</f>
        <v/>
      </c>
      <c r="G177" s="8">
        <f>IF(A177="","",SUM($F$2:F177))</f>
        <v/>
      </c>
      <c r="H177" s="8">
        <f>IF(A177="","",Eingabe!$B$7-G177)</f>
        <v/>
      </c>
      <c r="I177" s="8">
        <f>IF(A177="","",Eingabe!$B$8-SUMIFS($F$2:F177,$D$2:D177,D177))</f>
        <v/>
      </c>
      <c r="J177" s="8">
        <f>IF(A177="","",IF(E177="",1E+99,IFERROR(VLOOKUP(E177,Eingabe!$D$5:$E$44,2,FALSE),Eingabe!$B$9)))</f>
        <v/>
      </c>
      <c r="K177" s="8">
        <f>IF(A177="","",IF(E177="",1E+99,J177-SUMIFS($F$2:F177,$E$2:E177,E177)))</f>
        <v/>
      </c>
      <c r="L177" s="5">
        <f>IF(A177="","",IF(OR(H177&lt;0,I177&lt;0,K177&lt;0),"UNMOEGLICH","OK"))</f>
        <v/>
      </c>
    </row>
    <row r="178">
      <c r="A178" s="7">
        <f>IF(ROW()-1&lt;=Eingabe!$B$4-Eingabe!$B$3+1,Eingabe!$B$3+ROW()-2,"")</f>
        <v/>
      </c>
      <c r="B178" s="5">
        <f>IF(A178="","",TEXT(A178,"yyyy-mm-dd"))</f>
        <v/>
      </c>
      <c r="C178" s="5">
        <f>IF(A178="","",TEXT(A178,"ddd"))</f>
        <v/>
      </c>
      <c r="D178" s="5">
        <f>IF(A178="","",TEXT(A178,"yyyy-mm"))</f>
        <v/>
      </c>
      <c r="E178" s="5">
        <f>IF(A178="","",IF(A178&lt;Eingabe!$B$5,"",INT((A178-Eingabe!$B$5)/(Eingabe!$B$6*7))+1))</f>
        <v/>
      </c>
      <c r="F178" s="8">
        <f>IF(A178="","",SUMPRODUCT((Eingabe!$B$16:$B$165&lt;&gt;"")*(Eingabe!$J$16:$J$165)*--(A178&gt;=Eingabe!$G$16:$G$165)*--(A178&lt;=Eingabe!$H$16:$H$165)*--(WEEKDAY(A178,2)&lt;=5)))</f>
        <v/>
      </c>
      <c r="G178" s="8">
        <f>IF(A178="","",SUM($F$2:F178))</f>
        <v/>
      </c>
      <c r="H178" s="8">
        <f>IF(A178="","",Eingabe!$B$7-G178)</f>
        <v/>
      </c>
      <c r="I178" s="8">
        <f>IF(A178="","",Eingabe!$B$8-SUMIFS($F$2:F178,$D$2:D178,D178))</f>
        <v/>
      </c>
      <c r="J178" s="8">
        <f>IF(A178="","",IF(E178="",1E+99,IFERROR(VLOOKUP(E178,Eingabe!$D$5:$E$44,2,FALSE),Eingabe!$B$9)))</f>
        <v/>
      </c>
      <c r="K178" s="8">
        <f>IF(A178="","",IF(E178="",1E+99,J178-SUMIFS($F$2:F178,$E$2:E178,E178)))</f>
        <v/>
      </c>
      <c r="L178" s="5">
        <f>IF(A178="","",IF(OR(H178&lt;0,I178&lt;0,K178&lt;0),"UNMOEGLICH","OK"))</f>
        <v/>
      </c>
    </row>
    <row r="179">
      <c r="A179" s="7">
        <f>IF(ROW()-1&lt;=Eingabe!$B$4-Eingabe!$B$3+1,Eingabe!$B$3+ROW()-2,"")</f>
        <v/>
      </c>
      <c r="B179" s="5">
        <f>IF(A179="","",TEXT(A179,"yyyy-mm-dd"))</f>
        <v/>
      </c>
      <c r="C179" s="5">
        <f>IF(A179="","",TEXT(A179,"ddd"))</f>
        <v/>
      </c>
      <c r="D179" s="5">
        <f>IF(A179="","",TEXT(A179,"yyyy-mm"))</f>
        <v/>
      </c>
      <c r="E179" s="5">
        <f>IF(A179="","",IF(A179&lt;Eingabe!$B$5,"",INT((A179-Eingabe!$B$5)/(Eingabe!$B$6*7))+1))</f>
        <v/>
      </c>
      <c r="F179" s="8">
        <f>IF(A179="","",SUMPRODUCT((Eingabe!$B$16:$B$165&lt;&gt;"")*(Eingabe!$J$16:$J$165)*--(A179&gt;=Eingabe!$G$16:$G$165)*--(A179&lt;=Eingabe!$H$16:$H$165)*--(WEEKDAY(A179,2)&lt;=5)))</f>
        <v/>
      </c>
      <c r="G179" s="8">
        <f>IF(A179="","",SUM($F$2:F179))</f>
        <v/>
      </c>
      <c r="H179" s="8">
        <f>IF(A179="","",Eingabe!$B$7-G179)</f>
        <v/>
      </c>
      <c r="I179" s="8">
        <f>IF(A179="","",Eingabe!$B$8-SUMIFS($F$2:F179,$D$2:D179,D179))</f>
        <v/>
      </c>
      <c r="J179" s="8">
        <f>IF(A179="","",IF(E179="",1E+99,IFERROR(VLOOKUP(E179,Eingabe!$D$5:$E$44,2,FALSE),Eingabe!$B$9)))</f>
        <v/>
      </c>
      <c r="K179" s="8">
        <f>IF(A179="","",IF(E179="",1E+99,J179-SUMIFS($F$2:F179,$E$2:E179,E179)))</f>
        <v/>
      </c>
      <c r="L179" s="5">
        <f>IF(A179="","",IF(OR(H179&lt;0,I179&lt;0,K179&lt;0),"UNMOEGLICH","OK"))</f>
        <v/>
      </c>
    </row>
    <row r="180">
      <c r="A180" s="7">
        <f>IF(ROW()-1&lt;=Eingabe!$B$4-Eingabe!$B$3+1,Eingabe!$B$3+ROW()-2,"")</f>
        <v/>
      </c>
      <c r="B180" s="5">
        <f>IF(A180="","",TEXT(A180,"yyyy-mm-dd"))</f>
        <v/>
      </c>
      <c r="C180" s="5">
        <f>IF(A180="","",TEXT(A180,"ddd"))</f>
        <v/>
      </c>
      <c r="D180" s="5">
        <f>IF(A180="","",TEXT(A180,"yyyy-mm"))</f>
        <v/>
      </c>
      <c r="E180" s="5">
        <f>IF(A180="","",IF(A180&lt;Eingabe!$B$5,"",INT((A180-Eingabe!$B$5)/(Eingabe!$B$6*7))+1))</f>
        <v/>
      </c>
      <c r="F180" s="8">
        <f>IF(A180="","",SUMPRODUCT((Eingabe!$B$16:$B$165&lt;&gt;"")*(Eingabe!$J$16:$J$165)*--(A180&gt;=Eingabe!$G$16:$G$165)*--(A180&lt;=Eingabe!$H$16:$H$165)*--(WEEKDAY(A180,2)&lt;=5)))</f>
        <v/>
      </c>
      <c r="G180" s="8">
        <f>IF(A180="","",SUM($F$2:F180))</f>
        <v/>
      </c>
      <c r="H180" s="8">
        <f>IF(A180="","",Eingabe!$B$7-G180)</f>
        <v/>
      </c>
      <c r="I180" s="8">
        <f>IF(A180="","",Eingabe!$B$8-SUMIFS($F$2:F180,$D$2:D180,D180))</f>
        <v/>
      </c>
      <c r="J180" s="8">
        <f>IF(A180="","",IF(E180="",1E+99,IFERROR(VLOOKUP(E180,Eingabe!$D$5:$E$44,2,FALSE),Eingabe!$B$9)))</f>
        <v/>
      </c>
      <c r="K180" s="8">
        <f>IF(A180="","",IF(E180="",1E+99,J180-SUMIFS($F$2:F180,$E$2:E180,E180)))</f>
        <v/>
      </c>
      <c r="L180" s="5">
        <f>IF(A180="","",IF(OR(H180&lt;0,I180&lt;0,K180&lt;0),"UNMOEGLICH","OK"))</f>
        <v/>
      </c>
    </row>
    <row r="181">
      <c r="A181" s="7">
        <f>IF(ROW()-1&lt;=Eingabe!$B$4-Eingabe!$B$3+1,Eingabe!$B$3+ROW()-2,"")</f>
        <v/>
      </c>
      <c r="B181" s="5">
        <f>IF(A181="","",TEXT(A181,"yyyy-mm-dd"))</f>
        <v/>
      </c>
      <c r="C181" s="5">
        <f>IF(A181="","",TEXT(A181,"ddd"))</f>
        <v/>
      </c>
      <c r="D181" s="5">
        <f>IF(A181="","",TEXT(A181,"yyyy-mm"))</f>
        <v/>
      </c>
      <c r="E181" s="5">
        <f>IF(A181="","",IF(A181&lt;Eingabe!$B$5,"",INT((A181-Eingabe!$B$5)/(Eingabe!$B$6*7))+1))</f>
        <v/>
      </c>
      <c r="F181" s="8">
        <f>IF(A181="","",SUMPRODUCT((Eingabe!$B$16:$B$165&lt;&gt;"")*(Eingabe!$J$16:$J$165)*--(A181&gt;=Eingabe!$G$16:$G$165)*--(A181&lt;=Eingabe!$H$16:$H$165)*--(WEEKDAY(A181,2)&lt;=5)))</f>
        <v/>
      </c>
      <c r="G181" s="8">
        <f>IF(A181="","",SUM($F$2:F181))</f>
        <v/>
      </c>
      <c r="H181" s="8">
        <f>IF(A181="","",Eingabe!$B$7-G181)</f>
        <v/>
      </c>
      <c r="I181" s="8">
        <f>IF(A181="","",Eingabe!$B$8-SUMIFS($F$2:F181,$D$2:D181,D181))</f>
        <v/>
      </c>
      <c r="J181" s="8">
        <f>IF(A181="","",IF(E181="",1E+99,IFERROR(VLOOKUP(E181,Eingabe!$D$5:$E$44,2,FALSE),Eingabe!$B$9)))</f>
        <v/>
      </c>
      <c r="K181" s="8">
        <f>IF(A181="","",IF(E181="",1E+99,J181-SUMIFS($F$2:F181,$E$2:E181,E181)))</f>
        <v/>
      </c>
      <c r="L181" s="5">
        <f>IF(A181="","",IF(OR(H181&lt;0,I181&lt;0,K181&lt;0),"UNMOEGLICH","OK"))</f>
        <v/>
      </c>
    </row>
    <row r="182">
      <c r="A182" s="7">
        <f>IF(ROW()-1&lt;=Eingabe!$B$4-Eingabe!$B$3+1,Eingabe!$B$3+ROW()-2,"")</f>
        <v/>
      </c>
      <c r="B182" s="5">
        <f>IF(A182="","",TEXT(A182,"yyyy-mm-dd"))</f>
        <v/>
      </c>
      <c r="C182" s="5">
        <f>IF(A182="","",TEXT(A182,"ddd"))</f>
        <v/>
      </c>
      <c r="D182" s="5">
        <f>IF(A182="","",TEXT(A182,"yyyy-mm"))</f>
        <v/>
      </c>
      <c r="E182" s="5">
        <f>IF(A182="","",IF(A182&lt;Eingabe!$B$5,"",INT((A182-Eingabe!$B$5)/(Eingabe!$B$6*7))+1))</f>
        <v/>
      </c>
      <c r="F182" s="8">
        <f>IF(A182="","",SUMPRODUCT((Eingabe!$B$16:$B$165&lt;&gt;"")*(Eingabe!$J$16:$J$165)*--(A182&gt;=Eingabe!$G$16:$G$165)*--(A182&lt;=Eingabe!$H$16:$H$165)*--(WEEKDAY(A182,2)&lt;=5)))</f>
        <v/>
      </c>
      <c r="G182" s="8">
        <f>IF(A182="","",SUM($F$2:F182))</f>
        <v/>
      </c>
      <c r="H182" s="8">
        <f>IF(A182="","",Eingabe!$B$7-G182)</f>
        <v/>
      </c>
      <c r="I182" s="8">
        <f>IF(A182="","",Eingabe!$B$8-SUMIFS($F$2:F182,$D$2:D182,D182))</f>
        <v/>
      </c>
      <c r="J182" s="8">
        <f>IF(A182="","",IF(E182="",1E+99,IFERROR(VLOOKUP(E182,Eingabe!$D$5:$E$44,2,FALSE),Eingabe!$B$9)))</f>
        <v/>
      </c>
      <c r="K182" s="8">
        <f>IF(A182="","",IF(E182="",1E+99,J182-SUMIFS($F$2:F182,$E$2:E182,E182)))</f>
        <v/>
      </c>
      <c r="L182" s="5">
        <f>IF(A182="","",IF(OR(H182&lt;0,I182&lt;0,K182&lt;0),"UNMOEGLICH","OK"))</f>
        <v/>
      </c>
    </row>
    <row r="183">
      <c r="A183" s="7">
        <f>IF(ROW()-1&lt;=Eingabe!$B$4-Eingabe!$B$3+1,Eingabe!$B$3+ROW()-2,"")</f>
        <v/>
      </c>
      <c r="B183" s="5">
        <f>IF(A183="","",TEXT(A183,"yyyy-mm-dd"))</f>
        <v/>
      </c>
      <c r="C183" s="5">
        <f>IF(A183="","",TEXT(A183,"ddd"))</f>
        <v/>
      </c>
      <c r="D183" s="5">
        <f>IF(A183="","",TEXT(A183,"yyyy-mm"))</f>
        <v/>
      </c>
      <c r="E183" s="5">
        <f>IF(A183="","",IF(A183&lt;Eingabe!$B$5,"",INT((A183-Eingabe!$B$5)/(Eingabe!$B$6*7))+1))</f>
        <v/>
      </c>
      <c r="F183" s="8">
        <f>IF(A183="","",SUMPRODUCT((Eingabe!$B$16:$B$165&lt;&gt;"")*(Eingabe!$J$16:$J$165)*--(A183&gt;=Eingabe!$G$16:$G$165)*--(A183&lt;=Eingabe!$H$16:$H$165)*--(WEEKDAY(A183,2)&lt;=5)))</f>
        <v/>
      </c>
      <c r="G183" s="8">
        <f>IF(A183="","",SUM($F$2:F183))</f>
        <v/>
      </c>
      <c r="H183" s="8">
        <f>IF(A183="","",Eingabe!$B$7-G183)</f>
        <v/>
      </c>
      <c r="I183" s="8">
        <f>IF(A183="","",Eingabe!$B$8-SUMIFS($F$2:F183,$D$2:D183,D183))</f>
        <v/>
      </c>
      <c r="J183" s="8">
        <f>IF(A183="","",IF(E183="",1E+99,IFERROR(VLOOKUP(E183,Eingabe!$D$5:$E$44,2,FALSE),Eingabe!$B$9)))</f>
        <v/>
      </c>
      <c r="K183" s="8">
        <f>IF(A183="","",IF(E183="",1E+99,J183-SUMIFS($F$2:F183,$E$2:E183,E183)))</f>
        <v/>
      </c>
      <c r="L183" s="5">
        <f>IF(A183="","",IF(OR(H183&lt;0,I183&lt;0,K183&lt;0),"UNMOEGLICH","OK"))</f>
        <v/>
      </c>
    </row>
    <row r="184">
      <c r="A184" s="7">
        <f>IF(ROW()-1&lt;=Eingabe!$B$4-Eingabe!$B$3+1,Eingabe!$B$3+ROW()-2,"")</f>
        <v/>
      </c>
      <c r="B184" s="5">
        <f>IF(A184="","",TEXT(A184,"yyyy-mm-dd"))</f>
        <v/>
      </c>
      <c r="C184" s="5">
        <f>IF(A184="","",TEXT(A184,"ddd"))</f>
        <v/>
      </c>
      <c r="D184" s="5">
        <f>IF(A184="","",TEXT(A184,"yyyy-mm"))</f>
        <v/>
      </c>
      <c r="E184" s="5">
        <f>IF(A184="","",IF(A184&lt;Eingabe!$B$5,"",INT((A184-Eingabe!$B$5)/(Eingabe!$B$6*7))+1))</f>
        <v/>
      </c>
      <c r="F184" s="8">
        <f>IF(A184="","",SUMPRODUCT((Eingabe!$B$16:$B$165&lt;&gt;"")*(Eingabe!$J$16:$J$165)*--(A184&gt;=Eingabe!$G$16:$G$165)*--(A184&lt;=Eingabe!$H$16:$H$165)*--(WEEKDAY(A184,2)&lt;=5)))</f>
        <v/>
      </c>
      <c r="G184" s="8">
        <f>IF(A184="","",SUM($F$2:F184))</f>
        <v/>
      </c>
      <c r="H184" s="8">
        <f>IF(A184="","",Eingabe!$B$7-G184)</f>
        <v/>
      </c>
      <c r="I184" s="8">
        <f>IF(A184="","",Eingabe!$B$8-SUMIFS($F$2:F184,$D$2:D184,D184))</f>
        <v/>
      </c>
      <c r="J184" s="8">
        <f>IF(A184="","",IF(E184="",1E+99,IFERROR(VLOOKUP(E184,Eingabe!$D$5:$E$44,2,FALSE),Eingabe!$B$9)))</f>
        <v/>
      </c>
      <c r="K184" s="8">
        <f>IF(A184="","",IF(E184="",1E+99,J184-SUMIFS($F$2:F184,$E$2:E184,E184)))</f>
        <v/>
      </c>
      <c r="L184" s="5">
        <f>IF(A184="","",IF(OR(H184&lt;0,I184&lt;0,K184&lt;0),"UNMOEGLICH","OK"))</f>
        <v/>
      </c>
    </row>
    <row r="185">
      <c r="A185" s="7">
        <f>IF(ROW()-1&lt;=Eingabe!$B$4-Eingabe!$B$3+1,Eingabe!$B$3+ROW()-2,"")</f>
        <v/>
      </c>
      <c r="B185" s="5">
        <f>IF(A185="","",TEXT(A185,"yyyy-mm-dd"))</f>
        <v/>
      </c>
      <c r="C185" s="5">
        <f>IF(A185="","",TEXT(A185,"ddd"))</f>
        <v/>
      </c>
      <c r="D185" s="5">
        <f>IF(A185="","",TEXT(A185,"yyyy-mm"))</f>
        <v/>
      </c>
      <c r="E185" s="5">
        <f>IF(A185="","",IF(A185&lt;Eingabe!$B$5,"",INT((A185-Eingabe!$B$5)/(Eingabe!$B$6*7))+1))</f>
        <v/>
      </c>
      <c r="F185" s="8">
        <f>IF(A185="","",SUMPRODUCT((Eingabe!$B$16:$B$165&lt;&gt;"")*(Eingabe!$J$16:$J$165)*--(A185&gt;=Eingabe!$G$16:$G$165)*--(A185&lt;=Eingabe!$H$16:$H$165)*--(WEEKDAY(A185,2)&lt;=5)))</f>
        <v/>
      </c>
      <c r="G185" s="8">
        <f>IF(A185="","",SUM($F$2:F185))</f>
        <v/>
      </c>
      <c r="H185" s="8">
        <f>IF(A185="","",Eingabe!$B$7-G185)</f>
        <v/>
      </c>
      <c r="I185" s="8">
        <f>IF(A185="","",Eingabe!$B$8-SUMIFS($F$2:F185,$D$2:D185,D185))</f>
        <v/>
      </c>
      <c r="J185" s="8">
        <f>IF(A185="","",IF(E185="",1E+99,IFERROR(VLOOKUP(E185,Eingabe!$D$5:$E$44,2,FALSE),Eingabe!$B$9)))</f>
        <v/>
      </c>
      <c r="K185" s="8">
        <f>IF(A185="","",IF(E185="",1E+99,J185-SUMIFS($F$2:F185,$E$2:E185,E185)))</f>
        <v/>
      </c>
      <c r="L185" s="5">
        <f>IF(A185="","",IF(OR(H185&lt;0,I185&lt;0,K185&lt;0),"UNMOEGLICH","OK"))</f>
        <v/>
      </c>
    </row>
    <row r="186">
      <c r="A186" s="7">
        <f>IF(ROW()-1&lt;=Eingabe!$B$4-Eingabe!$B$3+1,Eingabe!$B$3+ROW()-2,"")</f>
        <v/>
      </c>
      <c r="B186" s="5">
        <f>IF(A186="","",TEXT(A186,"yyyy-mm-dd"))</f>
        <v/>
      </c>
      <c r="C186" s="5">
        <f>IF(A186="","",TEXT(A186,"ddd"))</f>
        <v/>
      </c>
      <c r="D186" s="5">
        <f>IF(A186="","",TEXT(A186,"yyyy-mm"))</f>
        <v/>
      </c>
      <c r="E186" s="5">
        <f>IF(A186="","",IF(A186&lt;Eingabe!$B$5,"",INT((A186-Eingabe!$B$5)/(Eingabe!$B$6*7))+1))</f>
        <v/>
      </c>
      <c r="F186" s="8">
        <f>IF(A186="","",SUMPRODUCT((Eingabe!$B$16:$B$165&lt;&gt;"")*(Eingabe!$J$16:$J$165)*--(A186&gt;=Eingabe!$G$16:$G$165)*--(A186&lt;=Eingabe!$H$16:$H$165)*--(WEEKDAY(A186,2)&lt;=5)))</f>
        <v/>
      </c>
      <c r="G186" s="8">
        <f>IF(A186="","",SUM($F$2:F186))</f>
        <v/>
      </c>
      <c r="H186" s="8">
        <f>IF(A186="","",Eingabe!$B$7-G186)</f>
        <v/>
      </c>
      <c r="I186" s="8">
        <f>IF(A186="","",Eingabe!$B$8-SUMIFS($F$2:F186,$D$2:D186,D186))</f>
        <v/>
      </c>
      <c r="J186" s="8">
        <f>IF(A186="","",IF(E186="",1E+99,IFERROR(VLOOKUP(E186,Eingabe!$D$5:$E$44,2,FALSE),Eingabe!$B$9)))</f>
        <v/>
      </c>
      <c r="K186" s="8">
        <f>IF(A186="","",IF(E186="",1E+99,J186-SUMIFS($F$2:F186,$E$2:E186,E186)))</f>
        <v/>
      </c>
      <c r="L186" s="5">
        <f>IF(A186="","",IF(OR(H186&lt;0,I186&lt;0,K186&lt;0),"UNMOEGLICH","OK"))</f>
        <v/>
      </c>
    </row>
    <row r="187">
      <c r="A187" s="7">
        <f>IF(ROW()-1&lt;=Eingabe!$B$4-Eingabe!$B$3+1,Eingabe!$B$3+ROW()-2,"")</f>
        <v/>
      </c>
      <c r="B187" s="5">
        <f>IF(A187="","",TEXT(A187,"yyyy-mm-dd"))</f>
        <v/>
      </c>
      <c r="C187" s="5">
        <f>IF(A187="","",TEXT(A187,"ddd"))</f>
        <v/>
      </c>
      <c r="D187" s="5">
        <f>IF(A187="","",TEXT(A187,"yyyy-mm"))</f>
        <v/>
      </c>
      <c r="E187" s="5">
        <f>IF(A187="","",IF(A187&lt;Eingabe!$B$5,"",INT((A187-Eingabe!$B$5)/(Eingabe!$B$6*7))+1))</f>
        <v/>
      </c>
      <c r="F187" s="8">
        <f>IF(A187="","",SUMPRODUCT((Eingabe!$B$16:$B$165&lt;&gt;"")*(Eingabe!$J$16:$J$165)*--(A187&gt;=Eingabe!$G$16:$G$165)*--(A187&lt;=Eingabe!$H$16:$H$165)*--(WEEKDAY(A187,2)&lt;=5)))</f>
        <v/>
      </c>
      <c r="G187" s="8">
        <f>IF(A187="","",SUM($F$2:F187))</f>
        <v/>
      </c>
      <c r="H187" s="8">
        <f>IF(A187="","",Eingabe!$B$7-G187)</f>
        <v/>
      </c>
      <c r="I187" s="8">
        <f>IF(A187="","",Eingabe!$B$8-SUMIFS($F$2:F187,$D$2:D187,D187))</f>
        <v/>
      </c>
      <c r="J187" s="8">
        <f>IF(A187="","",IF(E187="",1E+99,IFERROR(VLOOKUP(E187,Eingabe!$D$5:$E$44,2,FALSE),Eingabe!$B$9)))</f>
        <v/>
      </c>
      <c r="K187" s="8">
        <f>IF(A187="","",IF(E187="",1E+99,J187-SUMIFS($F$2:F187,$E$2:E187,E187)))</f>
        <v/>
      </c>
      <c r="L187" s="5">
        <f>IF(A187="","",IF(OR(H187&lt;0,I187&lt;0,K187&lt;0),"UNMOEGLICH","OK"))</f>
        <v/>
      </c>
    </row>
    <row r="188">
      <c r="A188" s="7">
        <f>IF(ROW()-1&lt;=Eingabe!$B$4-Eingabe!$B$3+1,Eingabe!$B$3+ROW()-2,"")</f>
        <v/>
      </c>
      <c r="B188" s="5">
        <f>IF(A188="","",TEXT(A188,"yyyy-mm-dd"))</f>
        <v/>
      </c>
      <c r="C188" s="5">
        <f>IF(A188="","",TEXT(A188,"ddd"))</f>
        <v/>
      </c>
      <c r="D188" s="5">
        <f>IF(A188="","",TEXT(A188,"yyyy-mm"))</f>
        <v/>
      </c>
      <c r="E188" s="5">
        <f>IF(A188="","",IF(A188&lt;Eingabe!$B$5,"",INT((A188-Eingabe!$B$5)/(Eingabe!$B$6*7))+1))</f>
        <v/>
      </c>
      <c r="F188" s="8">
        <f>IF(A188="","",SUMPRODUCT((Eingabe!$B$16:$B$165&lt;&gt;"")*(Eingabe!$J$16:$J$165)*--(A188&gt;=Eingabe!$G$16:$G$165)*--(A188&lt;=Eingabe!$H$16:$H$165)*--(WEEKDAY(A188,2)&lt;=5)))</f>
        <v/>
      </c>
      <c r="G188" s="8">
        <f>IF(A188="","",SUM($F$2:F188))</f>
        <v/>
      </c>
      <c r="H188" s="8">
        <f>IF(A188="","",Eingabe!$B$7-G188)</f>
        <v/>
      </c>
      <c r="I188" s="8">
        <f>IF(A188="","",Eingabe!$B$8-SUMIFS($F$2:F188,$D$2:D188,D188))</f>
        <v/>
      </c>
      <c r="J188" s="8">
        <f>IF(A188="","",IF(E188="",1E+99,IFERROR(VLOOKUP(E188,Eingabe!$D$5:$E$44,2,FALSE),Eingabe!$B$9)))</f>
        <v/>
      </c>
      <c r="K188" s="8">
        <f>IF(A188="","",IF(E188="",1E+99,J188-SUMIFS($F$2:F188,$E$2:E188,E188)))</f>
        <v/>
      </c>
      <c r="L188" s="5">
        <f>IF(A188="","",IF(OR(H188&lt;0,I188&lt;0,K188&lt;0),"UNMOEGLICH","OK"))</f>
        <v/>
      </c>
    </row>
    <row r="189">
      <c r="A189" s="7">
        <f>IF(ROW()-1&lt;=Eingabe!$B$4-Eingabe!$B$3+1,Eingabe!$B$3+ROW()-2,"")</f>
        <v/>
      </c>
      <c r="B189" s="5">
        <f>IF(A189="","",TEXT(A189,"yyyy-mm-dd"))</f>
        <v/>
      </c>
      <c r="C189" s="5">
        <f>IF(A189="","",TEXT(A189,"ddd"))</f>
        <v/>
      </c>
      <c r="D189" s="5">
        <f>IF(A189="","",TEXT(A189,"yyyy-mm"))</f>
        <v/>
      </c>
      <c r="E189" s="5">
        <f>IF(A189="","",IF(A189&lt;Eingabe!$B$5,"",INT((A189-Eingabe!$B$5)/(Eingabe!$B$6*7))+1))</f>
        <v/>
      </c>
      <c r="F189" s="8">
        <f>IF(A189="","",SUMPRODUCT((Eingabe!$B$16:$B$165&lt;&gt;"")*(Eingabe!$J$16:$J$165)*--(A189&gt;=Eingabe!$G$16:$G$165)*--(A189&lt;=Eingabe!$H$16:$H$165)*--(WEEKDAY(A189,2)&lt;=5)))</f>
        <v/>
      </c>
      <c r="G189" s="8">
        <f>IF(A189="","",SUM($F$2:F189))</f>
        <v/>
      </c>
      <c r="H189" s="8">
        <f>IF(A189="","",Eingabe!$B$7-G189)</f>
        <v/>
      </c>
      <c r="I189" s="8">
        <f>IF(A189="","",Eingabe!$B$8-SUMIFS($F$2:F189,$D$2:D189,D189))</f>
        <v/>
      </c>
      <c r="J189" s="8">
        <f>IF(A189="","",IF(E189="",1E+99,IFERROR(VLOOKUP(E189,Eingabe!$D$5:$E$44,2,FALSE),Eingabe!$B$9)))</f>
        <v/>
      </c>
      <c r="K189" s="8">
        <f>IF(A189="","",IF(E189="",1E+99,J189-SUMIFS($F$2:F189,$E$2:E189,E189)))</f>
        <v/>
      </c>
      <c r="L189" s="5">
        <f>IF(A189="","",IF(OR(H189&lt;0,I189&lt;0,K189&lt;0),"UNMOEGLICH","OK"))</f>
        <v/>
      </c>
    </row>
    <row r="190">
      <c r="A190" s="7">
        <f>IF(ROW()-1&lt;=Eingabe!$B$4-Eingabe!$B$3+1,Eingabe!$B$3+ROW()-2,"")</f>
        <v/>
      </c>
      <c r="B190" s="5">
        <f>IF(A190="","",TEXT(A190,"yyyy-mm-dd"))</f>
        <v/>
      </c>
      <c r="C190" s="5">
        <f>IF(A190="","",TEXT(A190,"ddd"))</f>
        <v/>
      </c>
      <c r="D190" s="5">
        <f>IF(A190="","",TEXT(A190,"yyyy-mm"))</f>
        <v/>
      </c>
      <c r="E190" s="5">
        <f>IF(A190="","",IF(A190&lt;Eingabe!$B$5,"",INT((A190-Eingabe!$B$5)/(Eingabe!$B$6*7))+1))</f>
        <v/>
      </c>
      <c r="F190" s="8">
        <f>IF(A190="","",SUMPRODUCT((Eingabe!$B$16:$B$165&lt;&gt;"")*(Eingabe!$J$16:$J$165)*--(A190&gt;=Eingabe!$G$16:$G$165)*--(A190&lt;=Eingabe!$H$16:$H$165)*--(WEEKDAY(A190,2)&lt;=5)))</f>
        <v/>
      </c>
      <c r="G190" s="8">
        <f>IF(A190="","",SUM($F$2:F190))</f>
        <v/>
      </c>
      <c r="H190" s="8">
        <f>IF(A190="","",Eingabe!$B$7-G190)</f>
        <v/>
      </c>
      <c r="I190" s="8">
        <f>IF(A190="","",Eingabe!$B$8-SUMIFS($F$2:F190,$D$2:D190,D190))</f>
        <v/>
      </c>
      <c r="J190" s="8">
        <f>IF(A190="","",IF(E190="",1E+99,IFERROR(VLOOKUP(E190,Eingabe!$D$5:$E$44,2,FALSE),Eingabe!$B$9)))</f>
        <v/>
      </c>
      <c r="K190" s="8">
        <f>IF(A190="","",IF(E190="",1E+99,J190-SUMIFS($F$2:F190,$E$2:E190,E190)))</f>
        <v/>
      </c>
      <c r="L190" s="5">
        <f>IF(A190="","",IF(OR(H190&lt;0,I190&lt;0,K190&lt;0),"UNMOEGLICH","OK"))</f>
        <v/>
      </c>
    </row>
    <row r="191">
      <c r="A191" s="7">
        <f>IF(ROW()-1&lt;=Eingabe!$B$4-Eingabe!$B$3+1,Eingabe!$B$3+ROW()-2,"")</f>
        <v/>
      </c>
      <c r="B191" s="5">
        <f>IF(A191="","",TEXT(A191,"yyyy-mm-dd"))</f>
        <v/>
      </c>
      <c r="C191" s="5">
        <f>IF(A191="","",TEXT(A191,"ddd"))</f>
        <v/>
      </c>
      <c r="D191" s="5">
        <f>IF(A191="","",TEXT(A191,"yyyy-mm"))</f>
        <v/>
      </c>
      <c r="E191" s="5">
        <f>IF(A191="","",IF(A191&lt;Eingabe!$B$5,"",INT((A191-Eingabe!$B$5)/(Eingabe!$B$6*7))+1))</f>
        <v/>
      </c>
      <c r="F191" s="8">
        <f>IF(A191="","",SUMPRODUCT((Eingabe!$B$16:$B$165&lt;&gt;"")*(Eingabe!$J$16:$J$165)*--(A191&gt;=Eingabe!$G$16:$G$165)*--(A191&lt;=Eingabe!$H$16:$H$165)*--(WEEKDAY(A191,2)&lt;=5)))</f>
        <v/>
      </c>
      <c r="G191" s="8">
        <f>IF(A191="","",SUM($F$2:F191))</f>
        <v/>
      </c>
      <c r="H191" s="8">
        <f>IF(A191="","",Eingabe!$B$7-G191)</f>
        <v/>
      </c>
      <c r="I191" s="8">
        <f>IF(A191="","",Eingabe!$B$8-SUMIFS($F$2:F191,$D$2:D191,D191))</f>
        <v/>
      </c>
      <c r="J191" s="8">
        <f>IF(A191="","",IF(E191="",1E+99,IFERROR(VLOOKUP(E191,Eingabe!$D$5:$E$44,2,FALSE),Eingabe!$B$9)))</f>
        <v/>
      </c>
      <c r="K191" s="8">
        <f>IF(A191="","",IF(E191="",1E+99,J191-SUMIFS($F$2:F191,$E$2:E191,E191)))</f>
        <v/>
      </c>
      <c r="L191" s="5">
        <f>IF(A191="","",IF(OR(H191&lt;0,I191&lt;0,K191&lt;0),"UNMOEGLICH","OK"))</f>
        <v/>
      </c>
    </row>
    <row r="192">
      <c r="A192" s="7">
        <f>IF(ROW()-1&lt;=Eingabe!$B$4-Eingabe!$B$3+1,Eingabe!$B$3+ROW()-2,"")</f>
        <v/>
      </c>
      <c r="B192" s="5">
        <f>IF(A192="","",TEXT(A192,"yyyy-mm-dd"))</f>
        <v/>
      </c>
      <c r="C192" s="5">
        <f>IF(A192="","",TEXT(A192,"ddd"))</f>
        <v/>
      </c>
      <c r="D192" s="5">
        <f>IF(A192="","",TEXT(A192,"yyyy-mm"))</f>
        <v/>
      </c>
      <c r="E192" s="5">
        <f>IF(A192="","",IF(A192&lt;Eingabe!$B$5,"",INT((A192-Eingabe!$B$5)/(Eingabe!$B$6*7))+1))</f>
        <v/>
      </c>
      <c r="F192" s="8">
        <f>IF(A192="","",SUMPRODUCT((Eingabe!$B$16:$B$165&lt;&gt;"")*(Eingabe!$J$16:$J$165)*--(A192&gt;=Eingabe!$G$16:$G$165)*--(A192&lt;=Eingabe!$H$16:$H$165)*--(WEEKDAY(A192,2)&lt;=5)))</f>
        <v/>
      </c>
      <c r="G192" s="8">
        <f>IF(A192="","",SUM($F$2:F192))</f>
        <v/>
      </c>
      <c r="H192" s="8">
        <f>IF(A192="","",Eingabe!$B$7-G192)</f>
        <v/>
      </c>
      <c r="I192" s="8">
        <f>IF(A192="","",Eingabe!$B$8-SUMIFS($F$2:F192,$D$2:D192,D192))</f>
        <v/>
      </c>
      <c r="J192" s="8">
        <f>IF(A192="","",IF(E192="",1E+99,IFERROR(VLOOKUP(E192,Eingabe!$D$5:$E$44,2,FALSE),Eingabe!$B$9)))</f>
        <v/>
      </c>
      <c r="K192" s="8">
        <f>IF(A192="","",IF(E192="",1E+99,J192-SUMIFS($F$2:F192,$E$2:E192,E192)))</f>
        <v/>
      </c>
      <c r="L192" s="5">
        <f>IF(A192="","",IF(OR(H192&lt;0,I192&lt;0,K192&lt;0),"UNMOEGLICH","OK"))</f>
        <v/>
      </c>
    </row>
    <row r="193">
      <c r="A193" s="7">
        <f>IF(ROW()-1&lt;=Eingabe!$B$4-Eingabe!$B$3+1,Eingabe!$B$3+ROW()-2,"")</f>
        <v/>
      </c>
      <c r="B193" s="5">
        <f>IF(A193="","",TEXT(A193,"yyyy-mm-dd"))</f>
        <v/>
      </c>
      <c r="C193" s="5">
        <f>IF(A193="","",TEXT(A193,"ddd"))</f>
        <v/>
      </c>
      <c r="D193" s="5">
        <f>IF(A193="","",TEXT(A193,"yyyy-mm"))</f>
        <v/>
      </c>
      <c r="E193" s="5">
        <f>IF(A193="","",IF(A193&lt;Eingabe!$B$5,"",INT((A193-Eingabe!$B$5)/(Eingabe!$B$6*7))+1))</f>
        <v/>
      </c>
      <c r="F193" s="8">
        <f>IF(A193="","",SUMPRODUCT((Eingabe!$B$16:$B$165&lt;&gt;"")*(Eingabe!$J$16:$J$165)*--(A193&gt;=Eingabe!$G$16:$G$165)*--(A193&lt;=Eingabe!$H$16:$H$165)*--(WEEKDAY(A193,2)&lt;=5)))</f>
        <v/>
      </c>
      <c r="G193" s="8">
        <f>IF(A193="","",SUM($F$2:F193))</f>
        <v/>
      </c>
      <c r="H193" s="8">
        <f>IF(A193="","",Eingabe!$B$7-G193)</f>
        <v/>
      </c>
      <c r="I193" s="8">
        <f>IF(A193="","",Eingabe!$B$8-SUMIFS($F$2:F193,$D$2:D193,D193))</f>
        <v/>
      </c>
      <c r="J193" s="8">
        <f>IF(A193="","",IF(E193="",1E+99,IFERROR(VLOOKUP(E193,Eingabe!$D$5:$E$44,2,FALSE),Eingabe!$B$9)))</f>
        <v/>
      </c>
      <c r="K193" s="8">
        <f>IF(A193="","",IF(E193="",1E+99,J193-SUMIFS($F$2:F193,$E$2:E193,E193)))</f>
        <v/>
      </c>
      <c r="L193" s="5">
        <f>IF(A193="","",IF(OR(H193&lt;0,I193&lt;0,K193&lt;0),"UNMOEGLICH","OK"))</f>
        <v/>
      </c>
    </row>
    <row r="194">
      <c r="A194" s="7">
        <f>IF(ROW()-1&lt;=Eingabe!$B$4-Eingabe!$B$3+1,Eingabe!$B$3+ROW()-2,"")</f>
        <v/>
      </c>
      <c r="B194" s="5">
        <f>IF(A194="","",TEXT(A194,"yyyy-mm-dd"))</f>
        <v/>
      </c>
      <c r="C194" s="5">
        <f>IF(A194="","",TEXT(A194,"ddd"))</f>
        <v/>
      </c>
      <c r="D194" s="5">
        <f>IF(A194="","",TEXT(A194,"yyyy-mm"))</f>
        <v/>
      </c>
      <c r="E194" s="5">
        <f>IF(A194="","",IF(A194&lt;Eingabe!$B$5,"",INT((A194-Eingabe!$B$5)/(Eingabe!$B$6*7))+1))</f>
        <v/>
      </c>
      <c r="F194" s="8">
        <f>IF(A194="","",SUMPRODUCT((Eingabe!$B$16:$B$165&lt;&gt;"")*(Eingabe!$J$16:$J$165)*--(A194&gt;=Eingabe!$G$16:$G$165)*--(A194&lt;=Eingabe!$H$16:$H$165)*--(WEEKDAY(A194,2)&lt;=5)))</f>
        <v/>
      </c>
      <c r="G194" s="8">
        <f>IF(A194="","",SUM($F$2:F194))</f>
        <v/>
      </c>
      <c r="H194" s="8">
        <f>IF(A194="","",Eingabe!$B$7-G194)</f>
        <v/>
      </c>
      <c r="I194" s="8">
        <f>IF(A194="","",Eingabe!$B$8-SUMIFS($F$2:F194,$D$2:D194,D194))</f>
        <v/>
      </c>
      <c r="J194" s="8">
        <f>IF(A194="","",IF(E194="",1E+99,IFERROR(VLOOKUP(E194,Eingabe!$D$5:$E$44,2,FALSE),Eingabe!$B$9)))</f>
        <v/>
      </c>
      <c r="K194" s="8">
        <f>IF(A194="","",IF(E194="",1E+99,J194-SUMIFS($F$2:F194,$E$2:E194,E194)))</f>
        <v/>
      </c>
      <c r="L194" s="5">
        <f>IF(A194="","",IF(OR(H194&lt;0,I194&lt;0,K194&lt;0),"UNMOEGLICH","OK"))</f>
        <v/>
      </c>
    </row>
    <row r="195">
      <c r="A195" s="7">
        <f>IF(ROW()-1&lt;=Eingabe!$B$4-Eingabe!$B$3+1,Eingabe!$B$3+ROW()-2,"")</f>
        <v/>
      </c>
      <c r="B195" s="5">
        <f>IF(A195="","",TEXT(A195,"yyyy-mm-dd"))</f>
        <v/>
      </c>
      <c r="C195" s="5">
        <f>IF(A195="","",TEXT(A195,"ddd"))</f>
        <v/>
      </c>
      <c r="D195" s="5">
        <f>IF(A195="","",TEXT(A195,"yyyy-mm"))</f>
        <v/>
      </c>
      <c r="E195" s="5">
        <f>IF(A195="","",IF(A195&lt;Eingabe!$B$5,"",INT((A195-Eingabe!$B$5)/(Eingabe!$B$6*7))+1))</f>
        <v/>
      </c>
      <c r="F195" s="8">
        <f>IF(A195="","",SUMPRODUCT((Eingabe!$B$16:$B$165&lt;&gt;"")*(Eingabe!$J$16:$J$165)*--(A195&gt;=Eingabe!$G$16:$G$165)*--(A195&lt;=Eingabe!$H$16:$H$165)*--(WEEKDAY(A195,2)&lt;=5)))</f>
        <v/>
      </c>
      <c r="G195" s="8">
        <f>IF(A195="","",SUM($F$2:F195))</f>
        <v/>
      </c>
      <c r="H195" s="8">
        <f>IF(A195="","",Eingabe!$B$7-G195)</f>
        <v/>
      </c>
      <c r="I195" s="8">
        <f>IF(A195="","",Eingabe!$B$8-SUMIFS($F$2:F195,$D$2:D195,D195))</f>
        <v/>
      </c>
      <c r="J195" s="8">
        <f>IF(A195="","",IF(E195="",1E+99,IFERROR(VLOOKUP(E195,Eingabe!$D$5:$E$44,2,FALSE),Eingabe!$B$9)))</f>
        <v/>
      </c>
      <c r="K195" s="8">
        <f>IF(A195="","",IF(E195="",1E+99,J195-SUMIFS($F$2:F195,$E$2:E195,E195)))</f>
        <v/>
      </c>
      <c r="L195" s="5">
        <f>IF(A195="","",IF(OR(H195&lt;0,I195&lt;0,K195&lt;0),"UNMOEGLICH","OK"))</f>
        <v/>
      </c>
    </row>
    <row r="196">
      <c r="A196" s="7">
        <f>IF(ROW()-1&lt;=Eingabe!$B$4-Eingabe!$B$3+1,Eingabe!$B$3+ROW()-2,"")</f>
        <v/>
      </c>
      <c r="B196" s="5">
        <f>IF(A196="","",TEXT(A196,"yyyy-mm-dd"))</f>
        <v/>
      </c>
      <c r="C196" s="5">
        <f>IF(A196="","",TEXT(A196,"ddd"))</f>
        <v/>
      </c>
      <c r="D196" s="5">
        <f>IF(A196="","",TEXT(A196,"yyyy-mm"))</f>
        <v/>
      </c>
      <c r="E196" s="5">
        <f>IF(A196="","",IF(A196&lt;Eingabe!$B$5,"",INT((A196-Eingabe!$B$5)/(Eingabe!$B$6*7))+1))</f>
        <v/>
      </c>
      <c r="F196" s="8">
        <f>IF(A196="","",SUMPRODUCT((Eingabe!$B$16:$B$165&lt;&gt;"")*(Eingabe!$J$16:$J$165)*--(A196&gt;=Eingabe!$G$16:$G$165)*--(A196&lt;=Eingabe!$H$16:$H$165)*--(WEEKDAY(A196,2)&lt;=5)))</f>
        <v/>
      </c>
      <c r="G196" s="8">
        <f>IF(A196="","",SUM($F$2:F196))</f>
        <v/>
      </c>
      <c r="H196" s="8">
        <f>IF(A196="","",Eingabe!$B$7-G196)</f>
        <v/>
      </c>
      <c r="I196" s="8">
        <f>IF(A196="","",Eingabe!$B$8-SUMIFS($F$2:F196,$D$2:D196,D196))</f>
        <v/>
      </c>
      <c r="J196" s="8">
        <f>IF(A196="","",IF(E196="",1E+99,IFERROR(VLOOKUP(E196,Eingabe!$D$5:$E$44,2,FALSE),Eingabe!$B$9)))</f>
        <v/>
      </c>
      <c r="K196" s="8">
        <f>IF(A196="","",IF(E196="",1E+99,J196-SUMIFS($F$2:F196,$E$2:E196,E196)))</f>
        <v/>
      </c>
      <c r="L196" s="5">
        <f>IF(A196="","",IF(OR(H196&lt;0,I196&lt;0,K196&lt;0),"UNMOEGLICH","OK"))</f>
        <v/>
      </c>
    </row>
    <row r="197">
      <c r="A197" s="7">
        <f>IF(ROW()-1&lt;=Eingabe!$B$4-Eingabe!$B$3+1,Eingabe!$B$3+ROW()-2,"")</f>
        <v/>
      </c>
      <c r="B197" s="5">
        <f>IF(A197="","",TEXT(A197,"yyyy-mm-dd"))</f>
        <v/>
      </c>
      <c r="C197" s="5">
        <f>IF(A197="","",TEXT(A197,"ddd"))</f>
        <v/>
      </c>
      <c r="D197" s="5">
        <f>IF(A197="","",TEXT(A197,"yyyy-mm"))</f>
        <v/>
      </c>
      <c r="E197" s="5">
        <f>IF(A197="","",IF(A197&lt;Eingabe!$B$5,"",INT((A197-Eingabe!$B$5)/(Eingabe!$B$6*7))+1))</f>
        <v/>
      </c>
      <c r="F197" s="8">
        <f>IF(A197="","",SUMPRODUCT((Eingabe!$B$16:$B$165&lt;&gt;"")*(Eingabe!$J$16:$J$165)*--(A197&gt;=Eingabe!$G$16:$G$165)*--(A197&lt;=Eingabe!$H$16:$H$165)*--(WEEKDAY(A197,2)&lt;=5)))</f>
        <v/>
      </c>
      <c r="G197" s="8">
        <f>IF(A197="","",SUM($F$2:F197))</f>
        <v/>
      </c>
      <c r="H197" s="8">
        <f>IF(A197="","",Eingabe!$B$7-G197)</f>
        <v/>
      </c>
      <c r="I197" s="8">
        <f>IF(A197="","",Eingabe!$B$8-SUMIFS($F$2:F197,$D$2:D197,D197))</f>
        <v/>
      </c>
      <c r="J197" s="8">
        <f>IF(A197="","",IF(E197="",1E+99,IFERROR(VLOOKUP(E197,Eingabe!$D$5:$E$44,2,FALSE),Eingabe!$B$9)))</f>
        <v/>
      </c>
      <c r="K197" s="8">
        <f>IF(A197="","",IF(E197="",1E+99,J197-SUMIFS($F$2:F197,$E$2:E197,E197)))</f>
        <v/>
      </c>
      <c r="L197" s="5">
        <f>IF(A197="","",IF(OR(H197&lt;0,I197&lt;0,K197&lt;0),"UNMOEGLICH","OK"))</f>
        <v/>
      </c>
    </row>
    <row r="198">
      <c r="A198" s="7">
        <f>IF(ROW()-1&lt;=Eingabe!$B$4-Eingabe!$B$3+1,Eingabe!$B$3+ROW()-2,"")</f>
        <v/>
      </c>
      <c r="B198" s="5">
        <f>IF(A198="","",TEXT(A198,"yyyy-mm-dd"))</f>
        <v/>
      </c>
      <c r="C198" s="5">
        <f>IF(A198="","",TEXT(A198,"ddd"))</f>
        <v/>
      </c>
      <c r="D198" s="5">
        <f>IF(A198="","",TEXT(A198,"yyyy-mm"))</f>
        <v/>
      </c>
      <c r="E198" s="5">
        <f>IF(A198="","",IF(A198&lt;Eingabe!$B$5,"",INT((A198-Eingabe!$B$5)/(Eingabe!$B$6*7))+1))</f>
        <v/>
      </c>
      <c r="F198" s="8">
        <f>IF(A198="","",SUMPRODUCT((Eingabe!$B$16:$B$165&lt;&gt;"")*(Eingabe!$J$16:$J$165)*--(A198&gt;=Eingabe!$G$16:$G$165)*--(A198&lt;=Eingabe!$H$16:$H$165)*--(WEEKDAY(A198,2)&lt;=5)))</f>
        <v/>
      </c>
      <c r="G198" s="8">
        <f>IF(A198="","",SUM($F$2:F198))</f>
        <v/>
      </c>
      <c r="H198" s="8">
        <f>IF(A198="","",Eingabe!$B$7-G198)</f>
        <v/>
      </c>
      <c r="I198" s="8">
        <f>IF(A198="","",Eingabe!$B$8-SUMIFS($F$2:F198,$D$2:D198,D198))</f>
        <v/>
      </c>
      <c r="J198" s="8">
        <f>IF(A198="","",IF(E198="",1E+99,IFERROR(VLOOKUP(E198,Eingabe!$D$5:$E$44,2,FALSE),Eingabe!$B$9)))</f>
        <v/>
      </c>
      <c r="K198" s="8">
        <f>IF(A198="","",IF(E198="",1E+99,J198-SUMIFS($F$2:F198,$E$2:E198,E198)))</f>
        <v/>
      </c>
      <c r="L198" s="5">
        <f>IF(A198="","",IF(OR(H198&lt;0,I198&lt;0,K198&lt;0),"UNMOEGLICH","OK"))</f>
        <v/>
      </c>
    </row>
    <row r="199">
      <c r="A199" s="7">
        <f>IF(ROW()-1&lt;=Eingabe!$B$4-Eingabe!$B$3+1,Eingabe!$B$3+ROW()-2,"")</f>
        <v/>
      </c>
      <c r="B199" s="5">
        <f>IF(A199="","",TEXT(A199,"yyyy-mm-dd"))</f>
        <v/>
      </c>
      <c r="C199" s="5">
        <f>IF(A199="","",TEXT(A199,"ddd"))</f>
        <v/>
      </c>
      <c r="D199" s="5">
        <f>IF(A199="","",TEXT(A199,"yyyy-mm"))</f>
        <v/>
      </c>
      <c r="E199" s="5">
        <f>IF(A199="","",IF(A199&lt;Eingabe!$B$5,"",INT((A199-Eingabe!$B$5)/(Eingabe!$B$6*7))+1))</f>
        <v/>
      </c>
      <c r="F199" s="8">
        <f>IF(A199="","",SUMPRODUCT((Eingabe!$B$16:$B$165&lt;&gt;"")*(Eingabe!$J$16:$J$165)*--(A199&gt;=Eingabe!$G$16:$G$165)*--(A199&lt;=Eingabe!$H$16:$H$165)*--(WEEKDAY(A199,2)&lt;=5)))</f>
        <v/>
      </c>
      <c r="G199" s="8">
        <f>IF(A199="","",SUM($F$2:F199))</f>
        <v/>
      </c>
      <c r="H199" s="8">
        <f>IF(A199="","",Eingabe!$B$7-G199)</f>
        <v/>
      </c>
      <c r="I199" s="8">
        <f>IF(A199="","",Eingabe!$B$8-SUMIFS($F$2:F199,$D$2:D199,D199))</f>
        <v/>
      </c>
      <c r="J199" s="8">
        <f>IF(A199="","",IF(E199="",1E+99,IFERROR(VLOOKUP(E199,Eingabe!$D$5:$E$44,2,FALSE),Eingabe!$B$9)))</f>
        <v/>
      </c>
      <c r="K199" s="8">
        <f>IF(A199="","",IF(E199="",1E+99,J199-SUMIFS($F$2:F199,$E$2:E199,E199)))</f>
        <v/>
      </c>
      <c r="L199" s="5">
        <f>IF(A199="","",IF(OR(H199&lt;0,I199&lt;0,K199&lt;0),"UNMOEGLICH","OK"))</f>
        <v/>
      </c>
    </row>
    <row r="200">
      <c r="A200" s="7">
        <f>IF(ROW()-1&lt;=Eingabe!$B$4-Eingabe!$B$3+1,Eingabe!$B$3+ROW()-2,"")</f>
        <v/>
      </c>
      <c r="B200" s="5">
        <f>IF(A200="","",TEXT(A200,"yyyy-mm-dd"))</f>
        <v/>
      </c>
      <c r="C200" s="5">
        <f>IF(A200="","",TEXT(A200,"ddd"))</f>
        <v/>
      </c>
      <c r="D200" s="5">
        <f>IF(A200="","",TEXT(A200,"yyyy-mm"))</f>
        <v/>
      </c>
      <c r="E200" s="5">
        <f>IF(A200="","",IF(A200&lt;Eingabe!$B$5,"",INT((A200-Eingabe!$B$5)/(Eingabe!$B$6*7))+1))</f>
        <v/>
      </c>
      <c r="F200" s="8">
        <f>IF(A200="","",SUMPRODUCT((Eingabe!$B$16:$B$165&lt;&gt;"")*(Eingabe!$J$16:$J$165)*--(A200&gt;=Eingabe!$G$16:$G$165)*--(A200&lt;=Eingabe!$H$16:$H$165)*--(WEEKDAY(A200,2)&lt;=5)))</f>
        <v/>
      </c>
      <c r="G200" s="8">
        <f>IF(A200="","",SUM($F$2:F200))</f>
        <v/>
      </c>
      <c r="H200" s="8">
        <f>IF(A200="","",Eingabe!$B$7-G200)</f>
        <v/>
      </c>
      <c r="I200" s="8">
        <f>IF(A200="","",Eingabe!$B$8-SUMIFS($F$2:F200,$D$2:D200,D200))</f>
        <v/>
      </c>
      <c r="J200" s="8">
        <f>IF(A200="","",IF(E200="",1E+99,IFERROR(VLOOKUP(E200,Eingabe!$D$5:$E$44,2,FALSE),Eingabe!$B$9)))</f>
        <v/>
      </c>
      <c r="K200" s="8">
        <f>IF(A200="","",IF(E200="",1E+99,J200-SUMIFS($F$2:F200,$E$2:E200,E200)))</f>
        <v/>
      </c>
      <c r="L200" s="5">
        <f>IF(A200="","",IF(OR(H200&lt;0,I200&lt;0,K200&lt;0),"UNMOEGLICH","OK"))</f>
        <v/>
      </c>
    </row>
    <row r="201">
      <c r="A201" s="7">
        <f>IF(ROW()-1&lt;=Eingabe!$B$4-Eingabe!$B$3+1,Eingabe!$B$3+ROW()-2,"")</f>
        <v/>
      </c>
      <c r="B201" s="5">
        <f>IF(A201="","",TEXT(A201,"yyyy-mm-dd"))</f>
        <v/>
      </c>
      <c r="C201" s="5">
        <f>IF(A201="","",TEXT(A201,"ddd"))</f>
        <v/>
      </c>
      <c r="D201" s="5">
        <f>IF(A201="","",TEXT(A201,"yyyy-mm"))</f>
        <v/>
      </c>
      <c r="E201" s="5">
        <f>IF(A201="","",IF(A201&lt;Eingabe!$B$5,"",INT((A201-Eingabe!$B$5)/(Eingabe!$B$6*7))+1))</f>
        <v/>
      </c>
      <c r="F201" s="8">
        <f>IF(A201="","",SUMPRODUCT((Eingabe!$B$16:$B$165&lt;&gt;"")*(Eingabe!$J$16:$J$165)*--(A201&gt;=Eingabe!$G$16:$G$165)*--(A201&lt;=Eingabe!$H$16:$H$165)*--(WEEKDAY(A201,2)&lt;=5)))</f>
        <v/>
      </c>
      <c r="G201" s="8">
        <f>IF(A201="","",SUM($F$2:F201))</f>
        <v/>
      </c>
      <c r="H201" s="8">
        <f>IF(A201="","",Eingabe!$B$7-G201)</f>
        <v/>
      </c>
      <c r="I201" s="8">
        <f>IF(A201="","",Eingabe!$B$8-SUMIFS($F$2:F201,$D$2:D201,D201))</f>
        <v/>
      </c>
      <c r="J201" s="8">
        <f>IF(A201="","",IF(E201="",1E+99,IFERROR(VLOOKUP(E201,Eingabe!$D$5:$E$44,2,FALSE),Eingabe!$B$9)))</f>
        <v/>
      </c>
      <c r="K201" s="8">
        <f>IF(A201="","",IF(E201="",1E+99,J201-SUMIFS($F$2:F201,$E$2:E201,E201)))</f>
        <v/>
      </c>
      <c r="L201" s="5">
        <f>IF(A201="","",IF(OR(H201&lt;0,I201&lt;0,K201&lt;0),"UNMOEGLICH","OK"))</f>
        <v/>
      </c>
    </row>
    <row r="202">
      <c r="A202" s="7">
        <f>IF(ROW()-1&lt;=Eingabe!$B$4-Eingabe!$B$3+1,Eingabe!$B$3+ROW()-2,"")</f>
        <v/>
      </c>
      <c r="B202" s="5">
        <f>IF(A202="","",TEXT(A202,"yyyy-mm-dd"))</f>
        <v/>
      </c>
      <c r="C202" s="5">
        <f>IF(A202="","",TEXT(A202,"ddd"))</f>
        <v/>
      </c>
      <c r="D202" s="5">
        <f>IF(A202="","",TEXT(A202,"yyyy-mm"))</f>
        <v/>
      </c>
      <c r="E202" s="5">
        <f>IF(A202="","",IF(A202&lt;Eingabe!$B$5,"",INT((A202-Eingabe!$B$5)/(Eingabe!$B$6*7))+1))</f>
        <v/>
      </c>
      <c r="F202" s="8">
        <f>IF(A202="","",SUMPRODUCT((Eingabe!$B$16:$B$165&lt;&gt;"")*(Eingabe!$J$16:$J$165)*--(A202&gt;=Eingabe!$G$16:$G$165)*--(A202&lt;=Eingabe!$H$16:$H$165)*--(WEEKDAY(A202,2)&lt;=5)))</f>
        <v/>
      </c>
      <c r="G202" s="8">
        <f>IF(A202="","",SUM($F$2:F202))</f>
        <v/>
      </c>
      <c r="H202" s="8">
        <f>IF(A202="","",Eingabe!$B$7-G202)</f>
        <v/>
      </c>
      <c r="I202" s="8">
        <f>IF(A202="","",Eingabe!$B$8-SUMIFS($F$2:F202,$D$2:D202,D202))</f>
        <v/>
      </c>
      <c r="J202" s="8">
        <f>IF(A202="","",IF(E202="",1E+99,IFERROR(VLOOKUP(E202,Eingabe!$D$5:$E$44,2,FALSE),Eingabe!$B$9)))</f>
        <v/>
      </c>
      <c r="K202" s="8">
        <f>IF(A202="","",IF(E202="",1E+99,J202-SUMIFS($F$2:F202,$E$2:E202,E202)))</f>
        <v/>
      </c>
      <c r="L202" s="5">
        <f>IF(A202="","",IF(OR(H202&lt;0,I202&lt;0,K202&lt;0),"UNMOEGLICH","OK"))</f>
        <v/>
      </c>
    </row>
    <row r="203">
      <c r="A203" s="7">
        <f>IF(ROW()-1&lt;=Eingabe!$B$4-Eingabe!$B$3+1,Eingabe!$B$3+ROW()-2,"")</f>
        <v/>
      </c>
      <c r="B203" s="5">
        <f>IF(A203="","",TEXT(A203,"yyyy-mm-dd"))</f>
        <v/>
      </c>
      <c r="C203" s="5">
        <f>IF(A203="","",TEXT(A203,"ddd"))</f>
        <v/>
      </c>
      <c r="D203" s="5">
        <f>IF(A203="","",TEXT(A203,"yyyy-mm"))</f>
        <v/>
      </c>
      <c r="E203" s="5">
        <f>IF(A203="","",IF(A203&lt;Eingabe!$B$5,"",INT((A203-Eingabe!$B$5)/(Eingabe!$B$6*7))+1))</f>
        <v/>
      </c>
      <c r="F203" s="8">
        <f>IF(A203="","",SUMPRODUCT((Eingabe!$B$16:$B$165&lt;&gt;"")*(Eingabe!$J$16:$J$165)*--(A203&gt;=Eingabe!$G$16:$G$165)*--(A203&lt;=Eingabe!$H$16:$H$165)*--(WEEKDAY(A203,2)&lt;=5)))</f>
        <v/>
      </c>
      <c r="G203" s="8">
        <f>IF(A203="","",SUM($F$2:F203))</f>
        <v/>
      </c>
      <c r="H203" s="8">
        <f>IF(A203="","",Eingabe!$B$7-G203)</f>
        <v/>
      </c>
      <c r="I203" s="8">
        <f>IF(A203="","",Eingabe!$B$8-SUMIFS($F$2:F203,$D$2:D203,D203))</f>
        <v/>
      </c>
      <c r="J203" s="8">
        <f>IF(A203="","",IF(E203="",1E+99,IFERROR(VLOOKUP(E203,Eingabe!$D$5:$E$44,2,FALSE),Eingabe!$B$9)))</f>
        <v/>
      </c>
      <c r="K203" s="8">
        <f>IF(A203="","",IF(E203="",1E+99,J203-SUMIFS($F$2:F203,$E$2:E203,E203)))</f>
        <v/>
      </c>
      <c r="L203" s="5">
        <f>IF(A203="","",IF(OR(H203&lt;0,I203&lt;0,K203&lt;0),"UNMOEGLICH","OK"))</f>
        <v/>
      </c>
    </row>
    <row r="204">
      <c r="A204" s="7">
        <f>IF(ROW()-1&lt;=Eingabe!$B$4-Eingabe!$B$3+1,Eingabe!$B$3+ROW()-2,"")</f>
        <v/>
      </c>
      <c r="B204" s="5">
        <f>IF(A204="","",TEXT(A204,"yyyy-mm-dd"))</f>
        <v/>
      </c>
      <c r="C204" s="5">
        <f>IF(A204="","",TEXT(A204,"ddd"))</f>
        <v/>
      </c>
      <c r="D204" s="5">
        <f>IF(A204="","",TEXT(A204,"yyyy-mm"))</f>
        <v/>
      </c>
      <c r="E204" s="5">
        <f>IF(A204="","",IF(A204&lt;Eingabe!$B$5,"",INT((A204-Eingabe!$B$5)/(Eingabe!$B$6*7))+1))</f>
        <v/>
      </c>
      <c r="F204" s="8">
        <f>IF(A204="","",SUMPRODUCT((Eingabe!$B$16:$B$165&lt;&gt;"")*(Eingabe!$J$16:$J$165)*--(A204&gt;=Eingabe!$G$16:$G$165)*--(A204&lt;=Eingabe!$H$16:$H$165)*--(WEEKDAY(A204,2)&lt;=5)))</f>
        <v/>
      </c>
      <c r="G204" s="8">
        <f>IF(A204="","",SUM($F$2:F204))</f>
        <v/>
      </c>
      <c r="H204" s="8">
        <f>IF(A204="","",Eingabe!$B$7-G204)</f>
        <v/>
      </c>
      <c r="I204" s="8">
        <f>IF(A204="","",Eingabe!$B$8-SUMIFS($F$2:F204,$D$2:D204,D204))</f>
        <v/>
      </c>
      <c r="J204" s="8">
        <f>IF(A204="","",IF(E204="",1E+99,IFERROR(VLOOKUP(E204,Eingabe!$D$5:$E$44,2,FALSE),Eingabe!$B$9)))</f>
        <v/>
      </c>
      <c r="K204" s="8">
        <f>IF(A204="","",IF(E204="",1E+99,J204-SUMIFS($F$2:F204,$E$2:E204,E204)))</f>
        <v/>
      </c>
      <c r="L204" s="5">
        <f>IF(A204="","",IF(OR(H204&lt;0,I204&lt;0,K204&lt;0),"UNMOEGLICH","OK"))</f>
        <v/>
      </c>
    </row>
    <row r="205">
      <c r="A205" s="7">
        <f>IF(ROW()-1&lt;=Eingabe!$B$4-Eingabe!$B$3+1,Eingabe!$B$3+ROW()-2,"")</f>
        <v/>
      </c>
      <c r="B205" s="5">
        <f>IF(A205="","",TEXT(A205,"yyyy-mm-dd"))</f>
        <v/>
      </c>
      <c r="C205" s="5">
        <f>IF(A205="","",TEXT(A205,"ddd"))</f>
        <v/>
      </c>
      <c r="D205" s="5">
        <f>IF(A205="","",TEXT(A205,"yyyy-mm"))</f>
        <v/>
      </c>
      <c r="E205" s="5">
        <f>IF(A205="","",IF(A205&lt;Eingabe!$B$5,"",INT((A205-Eingabe!$B$5)/(Eingabe!$B$6*7))+1))</f>
        <v/>
      </c>
      <c r="F205" s="8">
        <f>IF(A205="","",SUMPRODUCT((Eingabe!$B$16:$B$165&lt;&gt;"")*(Eingabe!$J$16:$J$165)*--(A205&gt;=Eingabe!$G$16:$G$165)*--(A205&lt;=Eingabe!$H$16:$H$165)*--(WEEKDAY(A205,2)&lt;=5)))</f>
        <v/>
      </c>
      <c r="G205" s="8">
        <f>IF(A205="","",SUM($F$2:F205))</f>
        <v/>
      </c>
      <c r="H205" s="8">
        <f>IF(A205="","",Eingabe!$B$7-G205)</f>
        <v/>
      </c>
      <c r="I205" s="8">
        <f>IF(A205="","",Eingabe!$B$8-SUMIFS($F$2:F205,$D$2:D205,D205))</f>
        <v/>
      </c>
      <c r="J205" s="8">
        <f>IF(A205="","",IF(E205="",1E+99,IFERROR(VLOOKUP(E205,Eingabe!$D$5:$E$44,2,FALSE),Eingabe!$B$9)))</f>
        <v/>
      </c>
      <c r="K205" s="8">
        <f>IF(A205="","",IF(E205="",1E+99,J205-SUMIFS($F$2:F205,$E$2:E205,E205)))</f>
        <v/>
      </c>
      <c r="L205" s="5">
        <f>IF(A205="","",IF(OR(H205&lt;0,I205&lt;0,K205&lt;0),"UNMOEGLICH","OK"))</f>
        <v/>
      </c>
    </row>
    <row r="206">
      <c r="A206" s="7">
        <f>IF(ROW()-1&lt;=Eingabe!$B$4-Eingabe!$B$3+1,Eingabe!$B$3+ROW()-2,"")</f>
        <v/>
      </c>
      <c r="B206" s="5">
        <f>IF(A206="","",TEXT(A206,"yyyy-mm-dd"))</f>
        <v/>
      </c>
      <c r="C206" s="5">
        <f>IF(A206="","",TEXT(A206,"ddd"))</f>
        <v/>
      </c>
      <c r="D206" s="5">
        <f>IF(A206="","",TEXT(A206,"yyyy-mm"))</f>
        <v/>
      </c>
      <c r="E206" s="5">
        <f>IF(A206="","",IF(A206&lt;Eingabe!$B$5,"",INT((A206-Eingabe!$B$5)/(Eingabe!$B$6*7))+1))</f>
        <v/>
      </c>
      <c r="F206" s="8">
        <f>IF(A206="","",SUMPRODUCT((Eingabe!$B$16:$B$165&lt;&gt;"")*(Eingabe!$J$16:$J$165)*--(A206&gt;=Eingabe!$G$16:$G$165)*--(A206&lt;=Eingabe!$H$16:$H$165)*--(WEEKDAY(A206,2)&lt;=5)))</f>
        <v/>
      </c>
      <c r="G206" s="8">
        <f>IF(A206="","",SUM($F$2:F206))</f>
        <v/>
      </c>
      <c r="H206" s="8">
        <f>IF(A206="","",Eingabe!$B$7-G206)</f>
        <v/>
      </c>
      <c r="I206" s="8">
        <f>IF(A206="","",Eingabe!$B$8-SUMIFS($F$2:F206,$D$2:D206,D206))</f>
        <v/>
      </c>
      <c r="J206" s="8">
        <f>IF(A206="","",IF(E206="",1E+99,IFERROR(VLOOKUP(E206,Eingabe!$D$5:$E$44,2,FALSE),Eingabe!$B$9)))</f>
        <v/>
      </c>
      <c r="K206" s="8">
        <f>IF(A206="","",IF(E206="",1E+99,J206-SUMIFS($F$2:F206,$E$2:E206,E206)))</f>
        <v/>
      </c>
      <c r="L206" s="5">
        <f>IF(A206="","",IF(OR(H206&lt;0,I206&lt;0,K206&lt;0),"UNMOEGLICH","OK"))</f>
        <v/>
      </c>
    </row>
    <row r="207">
      <c r="A207" s="7">
        <f>IF(ROW()-1&lt;=Eingabe!$B$4-Eingabe!$B$3+1,Eingabe!$B$3+ROW()-2,"")</f>
        <v/>
      </c>
      <c r="B207" s="5">
        <f>IF(A207="","",TEXT(A207,"yyyy-mm-dd"))</f>
        <v/>
      </c>
      <c r="C207" s="5">
        <f>IF(A207="","",TEXT(A207,"ddd"))</f>
        <v/>
      </c>
      <c r="D207" s="5">
        <f>IF(A207="","",TEXT(A207,"yyyy-mm"))</f>
        <v/>
      </c>
      <c r="E207" s="5">
        <f>IF(A207="","",IF(A207&lt;Eingabe!$B$5,"",INT((A207-Eingabe!$B$5)/(Eingabe!$B$6*7))+1))</f>
        <v/>
      </c>
      <c r="F207" s="8">
        <f>IF(A207="","",SUMPRODUCT((Eingabe!$B$16:$B$165&lt;&gt;"")*(Eingabe!$J$16:$J$165)*--(A207&gt;=Eingabe!$G$16:$G$165)*--(A207&lt;=Eingabe!$H$16:$H$165)*--(WEEKDAY(A207,2)&lt;=5)))</f>
        <v/>
      </c>
      <c r="G207" s="8">
        <f>IF(A207="","",SUM($F$2:F207))</f>
        <v/>
      </c>
      <c r="H207" s="8">
        <f>IF(A207="","",Eingabe!$B$7-G207)</f>
        <v/>
      </c>
      <c r="I207" s="8">
        <f>IF(A207="","",Eingabe!$B$8-SUMIFS($F$2:F207,$D$2:D207,D207))</f>
        <v/>
      </c>
      <c r="J207" s="8">
        <f>IF(A207="","",IF(E207="",1E+99,IFERROR(VLOOKUP(E207,Eingabe!$D$5:$E$44,2,FALSE),Eingabe!$B$9)))</f>
        <v/>
      </c>
      <c r="K207" s="8">
        <f>IF(A207="","",IF(E207="",1E+99,J207-SUMIFS($F$2:F207,$E$2:E207,E207)))</f>
        <v/>
      </c>
      <c r="L207" s="5">
        <f>IF(A207="","",IF(OR(H207&lt;0,I207&lt;0,K207&lt;0),"UNMOEGLICH","OK"))</f>
        <v/>
      </c>
    </row>
    <row r="208">
      <c r="A208" s="7">
        <f>IF(ROW()-1&lt;=Eingabe!$B$4-Eingabe!$B$3+1,Eingabe!$B$3+ROW()-2,"")</f>
        <v/>
      </c>
      <c r="B208" s="5">
        <f>IF(A208="","",TEXT(A208,"yyyy-mm-dd"))</f>
        <v/>
      </c>
      <c r="C208" s="5">
        <f>IF(A208="","",TEXT(A208,"ddd"))</f>
        <v/>
      </c>
      <c r="D208" s="5">
        <f>IF(A208="","",TEXT(A208,"yyyy-mm"))</f>
        <v/>
      </c>
      <c r="E208" s="5">
        <f>IF(A208="","",IF(A208&lt;Eingabe!$B$5,"",INT((A208-Eingabe!$B$5)/(Eingabe!$B$6*7))+1))</f>
        <v/>
      </c>
      <c r="F208" s="8">
        <f>IF(A208="","",SUMPRODUCT((Eingabe!$B$16:$B$165&lt;&gt;"")*(Eingabe!$J$16:$J$165)*--(A208&gt;=Eingabe!$G$16:$G$165)*--(A208&lt;=Eingabe!$H$16:$H$165)*--(WEEKDAY(A208,2)&lt;=5)))</f>
        <v/>
      </c>
      <c r="G208" s="8">
        <f>IF(A208="","",SUM($F$2:F208))</f>
        <v/>
      </c>
      <c r="H208" s="8">
        <f>IF(A208="","",Eingabe!$B$7-G208)</f>
        <v/>
      </c>
      <c r="I208" s="8">
        <f>IF(A208="","",Eingabe!$B$8-SUMIFS($F$2:F208,$D$2:D208,D208))</f>
        <v/>
      </c>
      <c r="J208" s="8">
        <f>IF(A208="","",IF(E208="",1E+99,IFERROR(VLOOKUP(E208,Eingabe!$D$5:$E$44,2,FALSE),Eingabe!$B$9)))</f>
        <v/>
      </c>
      <c r="K208" s="8">
        <f>IF(A208="","",IF(E208="",1E+99,J208-SUMIFS($F$2:F208,$E$2:E208,E208)))</f>
        <v/>
      </c>
      <c r="L208" s="5">
        <f>IF(A208="","",IF(OR(H208&lt;0,I208&lt;0,K208&lt;0),"UNMOEGLICH","OK"))</f>
        <v/>
      </c>
    </row>
    <row r="209">
      <c r="A209" s="7">
        <f>IF(ROW()-1&lt;=Eingabe!$B$4-Eingabe!$B$3+1,Eingabe!$B$3+ROW()-2,"")</f>
        <v/>
      </c>
      <c r="B209" s="5">
        <f>IF(A209="","",TEXT(A209,"yyyy-mm-dd"))</f>
        <v/>
      </c>
      <c r="C209" s="5">
        <f>IF(A209="","",TEXT(A209,"ddd"))</f>
        <v/>
      </c>
      <c r="D209" s="5">
        <f>IF(A209="","",TEXT(A209,"yyyy-mm"))</f>
        <v/>
      </c>
      <c r="E209" s="5">
        <f>IF(A209="","",IF(A209&lt;Eingabe!$B$5,"",INT((A209-Eingabe!$B$5)/(Eingabe!$B$6*7))+1))</f>
        <v/>
      </c>
      <c r="F209" s="8">
        <f>IF(A209="","",SUMPRODUCT((Eingabe!$B$16:$B$165&lt;&gt;"")*(Eingabe!$J$16:$J$165)*--(A209&gt;=Eingabe!$G$16:$G$165)*--(A209&lt;=Eingabe!$H$16:$H$165)*--(WEEKDAY(A209,2)&lt;=5)))</f>
        <v/>
      </c>
      <c r="G209" s="8">
        <f>IF(A209="","",SUM($F$2:F209))</f>
        <v/>
      </c>
      <c r="H209" s="8">
        <f>IF(A209="","",Eingabe!$B$7-G209)</f>
        <v/>
      </c>
      <c r="I209" s="8">
        <f>IF(A209="","",Eingabe!$B$8-SUMIFS($F$2:F209,$D$2:D209,D209))</f>
        <v/>
      </c>
      <c r="J209" s="8">
        <f>IF(A209="","",IF(E209="",1E+99,IFERROR(VLOOKUP(E209,Eingabe!$D$5:$E$44,2,FALSE),Eingabe!$B$9)))</f>
        <v/>
      </c>
      <c r="K209" s="8">
        <f>IF(A209="","",IF(E209="",1E+99,J209-SUMIFS($F$2:F209,$E$2:E209,E209)))</f>
        <v/>
      </c>
      <c r="L209" s="5">
        <f>IF(A209="","",IF(OR(H209&lt;0,I209&lt;0,K209&lt;0),"UNMOEGLICH","OK"))</f>
        <v/>
      </c>
    </row>
    <row r="210">
      <c r="A210" s="7">
        <f>IF(ROW()-1&lt;=Eingabe!$B$4-Eingabe!$B$3+1,Eingabe!$B$3+ROW()-2,"")</f>
        <v/>
      </c>
      <c r="B210" s="5">
        <f>IF(A210="","",TEXT(A210,"yyyy-mm-dd"))</f>
        <v/>
      </c>
      <c r="C210" s="5">
        <f>IF(A210="","",TEXT(A210,"ddd"))</f>
        <v/>
      </c>
      <c r="D210" s="5">
        <f>IF(A210="","",TEXT(A210,"yyyy-mm"))</f>
        <v/>
      </c>
      <c r="E210" s="5">
        <f>IF(A210="","",IF(A210&lt;Eingabe!$B$5,"",INT((A210-Eingabe!$B$5)/(Eingabe!$B$6*7))+1))</f>
        <v/>
      </c>
      <c r="F210" s="8">
        <f>IF(A210="","",SUMPRODUCT((Eingabe!$B$16:$B$165&lt;&gt;"")*(Eingabe!$J$16:$J$165)*--(A210&gt;=Eingabe!$G$16:$G$165)*--(A210&lt;=Eingabe!$H$16:$H$165)*--(WEEKDAY(A210,2)&lt;=5)))</f>
        <v/>
      </c>
      <c r="G210" s="8">
        <f>IF(A210="","",SUM($F$2:F210))</f>
        <v/>
      </c>
      <c r="H210" s="8">
        <f>IF(A210="","",Eingabe!$B$7-G210)</f>
        <v/>
      </c>
      <c r="I210" s="8">
        <f>IF(A210="","",Eingabe!$B$8-SUMIFS($F$2:F210,$D$2:D210,D210))</f>
        <v/>
      </c>
      <c r="J210" s="8">
        <f>IF(A210="","",IF(E210="",1E+99,IFERROR(VLOOKUP(E210,Eingabe!$D$5:$E$44,2,FALSE),Eingabe!$B$9)))</f>
        <v/>
      </c>
      <c r="K210" s="8">
        <f>IF(A210="","",IF(E210="",1E+99,J210-SUMIFS($F$2:F210,$E$2:E210,E210)))</f>
        <v/>
      </c>
      <c r="L210" s="5">
        <f>IF(A210="","",IF(OR(H210&lt;0,I210&lt;0,K210&lt;0),"UNMOEGLICH","OK"))</f>
        <v/>
      </c>
    </row>
    <row r="211">
      <c r="A211" s="7">
        <f>IF(ROW()-1&lt;=Eingabe!$B$4-Eingabe!$B$3+1,Eingabe!$B$3+ROW()-2,"")</f>
        <v/>
      </c>
      <c r="B211" s="5">
        <f>IF(A211="","",TEXT(A211,"yyyy-mm-dd"))</f>
        <v/>
      </c>
      <c r="C211" s="5">
        <f>IF(A211="","",TEXT(A211,"ddd"))</f>
        <v/>
      </c>
      <c r="D211" s="5">
        <f>IF(A211="","",TEXT(A211,"yyyy-mm"))</f>
        <v/>
      </c>
      <c r="E211" s="5">
        <f>IF(A211="","",IF(A211&lt;Eingabe!$B$5,"",INT((A211-Eingabe!$B$5)/(Eingabe!$B$6*7))+1))</f>
        <v/>
      </c>
      <c r="F211" s="8">
        <f>IF(A211="","",SUMPRODUCT((Eingabe!$B$16:$B$165&lt;&gt;"")*(Eingabe!$J$16:$J$165)*--(A211&gt;=Eingabe!$G$16:$G$165)*--(A211&lt;=Eingabe!$H$16:$H$165)*--(WEEKDAY(A211,2)&lt;=5)))</f>
        <v/>
      </c>
      <c r="G211" s="8">
        <f>IF(A211="","",SUM($F$2:F211))</f>
        <v/>
      </c>
      <c r="H211" s="8">
        <f>IF(A211="","",Eingabe!$B$7-G211)</f>
        <v/>
      </c>
      <c r="I211" s="8">
        <f>IF(A211="","",Eingabe!$B$8-SUMIFS($F$2:F211,$D$2:D211,D211))</f>
        <v/>
      </c>
      <c r="J211" s="8">
        <f>IF(A211="","",IF(E211="",1E+99,IFERROR(VLOOKUP(E211,Eingabe!$D$5:$E$44,2,FALSE),Eingabe!$B$9)))</f>
        <v/>
      </c>
      <c r="K211" s="8">
        <f>IF(A211="","",IF(E211="",1E+99,J211-SUMIFS($F$2:F211,$E$2:E211,E211)))</f>
        <v/>
      </c>
      <c r="L211" s="5">
        <f>IF(A211="","",IF(OR(H211&lt;0,I211&lt;0,K211&lt;0),"UNMOEGLICH","OK"))</f>
        <v/>
      </c>
    </row>
    <row r="212">
      <c r="A212" s="7">
        <f>IF(ROW()-1&lt;=Eingabe!$B$4-Eingabe!$B$3+1,Eingabe!$B$3+ROW()-2,"")</f>
        <v/>
      </c>
      <c r="B212" s="5">
        <f>IF(A212="","",TEXT(A212,"yyyy-mm-dd"))</f>
        <v/>
      </c>
      <c r="C212" s="5">
        <f>IF(A212="","",TEXT(A212,"ddd"))</f>
        <v/>
      </c>
      <c r="D212" s="5">
        <f>IF(A212="","",TEXT(A212,"yyyy-mm"))</f>
        <v/>
      </c>
      <c r="E212" s="5">
        <f>IF(A212="","",IF(A212&lt;Eingabe!$B$5,"",INT((A212-Eingabe!$B$5)/(Eingabe!$B$6*7))+1))</f>
        <v/>
      </c>
      <c r="F212" s="8">
        <f>IF(A212="","",SUMPRODUCT((Eingabe!$B$16:$B$165&lt;&gt;"")*(Eingabe!$J$16:$J$165)*--(A212&gt;=Eingabe!$G$16:$G$165)*--(A212&lt;=Eingabe!$H$16:$H$165)*--(WEEKDAY(A212,2)&lt;=5)))</f>
        <v/>
      </c>
      <c r="G212" s="8">
        <f>IF(A212="","",SUM($F$2:F212))</f>
        <v/>
      </c>
      <c r="H212" s="8">
        <f>IF(A212="","",Eingabe!$B$7-G212)</f>
        <v/>
      </c>
      <c r="I212" s="8">
        <f>IF(A212="","",Eingabe!$B$8-SUMIFS($F$2:F212,$D$2:D212,D212))</f>
        <v/>
      </c>
      <c r="J212" s="8">
        <f>IF(A212="","",IF(E212="",1E+99,IFERROR(VLOOKUP(E212,Eingabe!$D$5:$E$44,2,FALSE),Eingabe!$B$9)))</f>
        <v/>
      </c>
      <c r="K212" s="8">
        <f>IF(A212="","",IF(E212="",1E+99,J212-SUMIFS($F$2:F212,$E$2:E212,E212)))</f>
        <v/>
      </c>
      <c r="L212" s="5">
        <f>IF(A212="","",IF(OR(H212&lt;0,I212&lt;0,K212&lt;0),"UNMOEGLICH","OK"))</f>
        <v/>
      </c>
    </row>
    <row r="213">
      <c r="A213" s="7">
        <f>IF(ROW()-1&lt;=Eingabe!$B$4-Eingabe!$B$3+1,Eingabe!$B$3+ROW()-2,"")</f>
        <v/>
      </c>
      <c r="B213" s="5">
        <f>IF(A213="","",TEXT(A213,"yyyy-mm-dd"))</f>
        <v/>
      </c>
      <c r="C213" s="5">
        <f>IF(A213="","",TEXT(A213,"ddd"))</f>
        <v/>
      </c>
      <c r="D213" s="5">
        <f>IF(A213="","",TEXT(A213,"yyyy-mm"))</f>
        <v/>
      </c>
      <c r="E213" s="5">
        <f>IF(A213="","",IF(A213&lt;Eingabe!$B$5,"",INT((A213-Eingabe!$B$5)/(Eingabe!$B$6*7))+1))</f>
        <v/>
      </c>
      <c r="F213" s="8">
        <f>IF(A213="","",SUMPRODUCT((Eingabe!$B$16:$B$165&lt;&gt;"")*(Eingabe!$J$16:$J$165)*--(A213&gt;=Eingabe!$G$16:$G$165)*--(A213&lt;=Eingabe!$H$16:$H$165)*--(WEEKDAY(A213,2)&lt;=5)))</f>
        <v/>
      </c>
      <c r="G213" s="8">
        <f>IF(A213="","",SUM($F$2:F213))</f>
        <v/>
      </c>
      <c r="H213" s="8">
        <f>IF(A213="","",Eingabe!$B$7-G213)</f>
        <v/>
      </c>
      <c r="I213" s="8">
        <f>IF(A213="","",Eingabe!$B$8-SUMIFS($F$2:F213,$D$2:D213,D213))</f>
        <v/>
      </c>
      <c r="J213" s="8">
        <f>IF(A213="","",IF(E213="",1E+99,IFERROR(VLOOKUP(E213,Eingabe!$D$5:$E$44,2,FALSE),Eingabe!$B$9)))</f>
        <v/>
      </c>
      <c r="K213" s="8">
        <f>IF(A213="","",IF(E213="",1E+99,J213-SUMIFS($F$2:F213,$E$2:E213,E213)))</f>
        <v/>
      </c>
      <c r="L213" s="5">
        <f>IF(A213="","",IF(OR(H213&lt;0,I213&lt;0,K213&lt;0),"UNMOEGLICH","OK"))</f>
        <v/>
      </c>
    </row>
    <row r="214">
      <c r="A214" s="7">
        <f>IF(ROW()-1&lt;=Eingabe!$B$4-Eingabe!$B$3+1,Eingabe!$B$3+ROW()-2,"")</f>
        <v/>
      </c>
      <c r="B214" s="5">
        <f>IF(A214="","",TEXT(A214,"yyyy-mm-dd"))</f>
        <v/>
      </c>
      <c r="C214" s="5">
        <f>IF(A214="","",TEXT(A214,"ddd"))</f>
        <v/>
      </c>
      <c r="D214" s="5">
        <f>IF(A214="","",TEXT(A214,"yyyy-mm"))</f>
        <v/>
      </c>
      <c r="E214" s="5">
        <f>IF(A214="","",IF(A214&lt;Eingabe!$B$5,"",INT((A214-Eingabe!$B$5)/(Eingabe!$B$6*7))+1))</f>
        <v/>
      </c>
      <c r="F214" s="8">
        <f>IF(A214="","",SUMPRODUCT((Eingabe!$B$16:$B$165&lt;&gt;"")*(Eingabe!$J$16:$J$165)*--(A214&gt;=Eingabe!$G$16:$G$165)*--(A214&lt;=Eingabe!$H$16:$H$165)*--(WEEKDAY(A214,2)&lt;=5)))</f>
        <v/>
      </c>
      <c r="G214" s="8">
        <f>IF(A214="","",SUM($F$2:F214))</f>
        <v/>
      </c>
      <c r="H214" s="8">
        <f>IF(A214="","",Eingabe!$B$7-G214)</f>
        <v/>
      </c>
      <c r="I214" s="8">
        <f>IF(A214="","",Eingabe!$B$8-SUMIFS($F$2:F214,$D$2:D214,D214))</f>
        <v/>
      </c>
      <c r="J214" s="8">
        <f>IF(A214="","",IF(E214="",1E+99,IFERROR(VLOOKUP(E214,Eingabe!$D$5:$E$44,2,FALSE),Eingabe!$B$9)))</f>
        <v/>
      </c>
      <c r="K214" s="8">
        <f>IF(A214="","",IF(E214="",1E+99,J214-SUMIFS($F$2:F214,$E$2:E214,E214)))</f>
        <v/>
      </c>
      <c r="L214" s="5">
        <f>IF(A214="","",IF(OR(H214&lt;0,I214&lt;0,K214&lt;0),"UNMOEGLICH","OK"))</f>
        <v/>
      </c>
    </row>
    <row r="215">
      <c r="A215" s="7">
        <f>IF(ROW()-1&lt;=Eingabe!$B$4-Eingabe!$B$3+1,Eingabe!$B$3+ROW()-2,"")</f>
        <v/>
      </c>
      <c r="B215" s="5">
        <f>IF(A215="","",TEXT(A215,"yyyy-mm-dd"))</f>
        <v/>
      </c>
      <c r="C215" s="5">
        <f>IF(A215="","",TEXT(A215,"ddd"))</f>
        <v/>
      </c>
      <c r="D215" s="5">
        <f>IF(A215="","",TEXT(A215,"yyyy-mm"))</f>
        <v/>
      </c>
      <c r="E215" s="5">
        <f>IF(A215="","",IF(A215&lt;Eingabe!$B$5,"",INT((A215-Eingabe!$B$5)/(Eingabe!$B$6*7))+1))</f>
        <v/>
      </c>
      <c r="F215" s="8">
        <f>IF(A215="","",SUMPRODUCT((Eingabe!$B$16:$B$165&lt;&gt;"")*(Eingabe!$J$16:$J$165)*--(A215&gt;=Eingabe!$G$16:$G$165)*--(A215&lt;=Eingabe!$H$16:$H$165)*--(WEEKDAY(A215,2)&lt;=5)))</f>
        <v/>
      </c>
      <c r="G215" s="8">
        <f>IF(A215="","",SUM($F$2:F215))</f>
        <v/>
      </c>
      <c r="H215" s="8">
        <f>IF(A215="","",Eingabe!$B$7-G215)</f>
        <v/>
      </c>
      <c r="I215" s="8">
        <f>IF(A215="","",Eingabe!$B$8-SUMIFS($F$2:F215,$D$2:D215,D215))</f>
        <v/>
      </c>
      <c r="J215" s="8">
        <f>IF(A215="","",IF(E215="",1E+99,IFERROR(VLOOKUP(E215,Eingabe!$D$5:$E$44,2,FALSE),Eingabe!$B$9)))</f>
        <v/>
      </c>
      <c r="K215" s="8">
        <f>IF(A215="","",IF(E215="",1E+99,J215-SUMIFS($F$2:F215,$E$2:E215,E215)))</f>
        <v/>
      </c>
      <c r="L215" s="5">
        <f>IF(A215="","",IF(OR(H215&lt;0,I215&lt;0,K215&lt;0),"UNMOEGLICH","OK"))</f>
        <v/>
      </c>
    </row>
    <row r="216">
      <c r="A216" s="7">
        <f>IF(ROW()-1&lt;=Eingabe!$B$4-Eingabe!$B$3+1,Eingabe!$B$3+ROW()-2,"")</f>
        <v/>
      </c>
      <c r="B216" s="5">
        <f>IF(A216="","",TEXT(A216,"yyyy-mm-dd"))</f>
        <v/>
      </c>
      <c r="C216" s="5">
        <f>IF(A216="","",TEXT(A216,"ddd"))</f>
        <v/>
      </c>
      <c r="D216" s="5">
        <f>IF(A216="","",TEXT(A216,"yyyy-mm"))</f>
        <v/>
      </c>
      <c r="E216" s="5">
        <f>IF(A216="","",IF(A216&lt;Eingabe!$B$5,"",INT((A216-Eingabe!$B$5)/(Eingabe!$B$6*7))+1))</f>
        <v/>
      </c>
      <c r="F216" s="8">
        <f>IF(A216="","",SUMPRODUCT((Eingabe!$B$16:$B$165&lt;&gt;"")*(Eingabe!$J$16:$J$165)*--(A216&gt;=Eingabe!$G$16:$G$165)*--(A216&lt;=Eingabe!$H$16:$H$165)*--(WEEKDAY(A216,2)&lt;=5)))</f>
        <v/>
      </c>
      <c r="G216" s="8">
        <f>IF(A216="","",SUM($F$2:F216))</f>
        <v/>
      </c>
      <c r="H216" s="8">
        <f>IF(A216="","",Eingabe!$B$7-G216)</f>
        <v/>
      </c>
      <c r="I216" s="8">
        <f>IF(A216="","",Eingabe!$B$8-SUMIFS($F$2:F216,$D$2:D216,D216))</f>
        <v/>
      </c>
      <c r="J216" s="8">
        <f>IF(A216="","",IF(E216="",1E+99,IFERROR(VLOOKUP(E216,Eingabe!$D$5:$E$44,2,FALSE),Eingabe!$B$9)))</f>
        <v/>
      </c>
      <c r="K216" s="8">
        <f>IF(A216="","",IF(E216="",1E+99,J216-SUMIFS($F$2:F216,$E$2:E216,E216)))</f>
        <v/>
      </c>
      <c r="L216" s="5">
        <f>IF(A216="","",IF(OR(H216&lt;0,I216&lt;0,K216&lt;0),"UNMOEGLICH","OK"))</f>
        <v/>
      </c>
    </row>
    <row r="217">
      <c r="A217" s="7">
        <f>IF(ROW()-1&lt;=Eingabe!$B$4-Eingabe!$B$3+1,Eingabe!$B$3+ROW()-2,"")</f>
        <v/>
      </c>
      <c r="B217" s="5">
        <f>IF(A217="","",TEXT(A217,"yyyy-mm-dd"))</f>
        <v/>
      </c>
      <c r="C217" s="5">
        <f>IF(A217="","",TEXT(A217,"ddd"))</f>
        <v/>
      </c>
      <c r="D217" s="5">
        <f>IF(A217="","",TEXT(A217,"yyyy-mm"))</f>
        <v/>
      </c>
      <c r="E217" s="5">
        <f>IF(A217="","",IF(A217&lt;Eingabe!$B$5,"",INT((A217-Eingabe!$B$5)/(Eingabe!$B$6*7))+1))</f>
        <v/>
      </c>
      <c r="F217" s="8">
        <f>IF(A217="","",SUMPRODUCT((Eingabe!$B$16:$B$165&lt;&gt;"")*(Eingabe!$J$16:$J$165)*--(A217&gt;=Eingabe!$G$16:$G$165)*--(A217&lt;=Eingabe!$H$16:$H$165)*--(WEEKDAY(A217,2)&lt;=5)))</f>
        <v/>
      </c>
      <c r="G217" s="8">
        <f>IF(A217="","",SUM($F$2:F217))</f>
        <v/>
      </c>
      <c r="H217" s="8">
        <f>IF(A217="","",Eingabe!$B$7-G217)</f>
        <v/>
      </c>
      <c r="I217" s="8">
        <f>IF(A217="","",Eingabe!$B$8-SUMIFS($F$2:F217,$D$2:D217,D217))</f>
        <v/>
      </c>
      <c r="J217" s="8">
        <f>IF(A217="","",IF(E217="",1E+99,IFERROR(VLOOKUP(E217,Eingabe!$D$5:$E$44,2,FALSE),Eingabe!$B$9)))</f>
        <v/>
      </c>
      <c r="K217" s="8">
        <f>IF(A217="","",IF(E217="",1E+99,J217-SUMIFS($F$2:F217,$E$2:E217,E217)))</f>
        <v/>
      </c>
      <c r="L217" s="5">
        <f>IF(A217="","",IF(OR(H217&lt;0,I217&lt;0,K217&lt;0),"UNMOEGLICH","OK"))</f>
        <v/>
      </c>
    </row>
    <row r="218">
      <c r="A218" s="7">
        <f>IF(ROW()-1&lt;=Eingabe!$B$4-Eingabe!$B$3+1,Eingabe!$B$3+ROW()-2,"")</f>
        <v/>
      </c>
      <c r="B218" s="5">
        <f>IF(A218="","",TEXT(A218,"yyyy-mm-dd"))</f>
        <v/>
      </c>
      <c r="C218" s="5">
        <f>IF(A218="","",TEXT(A218,"ddd"))</f>
        <v/>
      </c>
      <c r="D218" s="5">
        <f>IF(A218="","",TEXT(A218,"yyyy-mm"))</f>
        <v/>
      </c>
      <c r="E218" s="5">
        <f>IF(A218="","",IF(A218&lt;Eingabe!$B$5,"",INT((A218-Eingabe!$B$5)/(Eingabe!$B$6*7))+1))</f>
        <v/>
      </c>
      <c r="F218" s="8">
        <f>IF(A218="","",SUMPRODUCT((Eingabe!$B$16:$B$165&lt;&gt;"")*(Eingabe!$J$16:$J$165)*--(A218&gt;=Eingabe!$G$16:$G$165)*--(A218&lt;=Eingabe!$H$16:$H$165)*--(WEEKDAY(A218,2)&lt;=5)))</f>
        <v/>
      </c>
      <c r="G218" s="8">
        <f>IF(A218="","",SUM($F$2:F218))</f>
        <v/>
      </c>
      <c r="H218" s="8">
        <f>IF(A218="","",Eingabe!$B$7-G218)</f>
        <v/>
      </c>
      <c r="I218" s="8">
        <f>IF(A218="","",Eingabe!$B$8-SUMIFS($F$2:F218,$D$2:D218,D218))</f>
        <v/>
      </c>
      <c r="J218" s="8">
        <f>IF(A218="","",IF(E218="",1E+99,IFERROR(VLOOKUP(E218,Eingabe!$D$5:$E$44,2,FALSE),Eingabe!$B$9)))</f>
        <v/>
      </c>
      <c r="K218" s="8">
        <f>IF(A218="","",IF(E218="",1E+99,J218-SUMIFS($F$2:F218,$E$2:E218,E218)))</f>
        <v/>
      </c>
      <c r="L218" s="5">
        <f>IF(A218="","",IF(OR(H218&lt;0,I218&lt;0,K218&lt;0),"UNMOEGLICH","OK"))</f>
        <v/>
      </c>
    </row>
    <row r="219">
      <c r="A219" s="7">
        <f>IF(ROW()-1&lt;=Eingabe!$B$4-Eingabe!$B$3+1,Eingabe!$B$3+ROW()-2,"")</f>
        <v/>
      </c>
      <c r="B219" s="5">
        <f>IF(A219="","",TEXT(A219,"yyyy-mm-dd"))</f>
        <v/>
      </c>
      <c r="C219" s="5">
        <f>IF(A219="","",TEXT(A219,"ddd"))</f>
        <v/>
      </c>
      <c r="D219" s="5">
        <f>IF(A219="","",TEXT(A219,"yyyy-mm"))</f>
        <v/>
      </c>
      <c r="E219" s="5">
        <f>IF(A219="","",IF(A219&lt;Eingabe!$B$5,"",INT((A219-Eingabe!$B$5)/(Eingabe!$B$6*7))+1))</f>
        <v/>
      </c>
      <c r="F219" s="8">
        <f>IF(A219="","",SUMPRODUCT((Eingabe!$B$16:$B$165&lt;&gt;"")*(Eingabe!$J$16:$J$165)*--(A219&gt;=Eingabe!$G$16:$G$165)*--(A219&lt;=Eingabe!$H$16:$H$165)*--(WEEKDAY(A219,2)&lt;=5)))</f>
        <v/>
      </c>
      <c r="G219" s="8">
        <f>IF(A219="","",SUM($F$2:F219))</f>
        <v/>
      </c>
      <c r="H219" s="8">
        <f>IF(A219="","",Eingabe!$B$7-G219)</f>
        <v/>
      </c>
      <c r="I219" s="8">
        <f>IF(A219="","",Eingabe!$B$8-SUMIFS($F$2:F219,$D$2:D219,D219))</f>
        <v/>
      </c>
      <c r="J219" s="8">
        <f>IF(A219="","",IF(E219="",1E+99,IFERROR(VLOOKUP(E219,Eingabe!$D$5:$E$44,2,FALSE),Eingabe!$B$9)))</f>
        <v/>
      </c>
      <c r="K219" s="8">
        <f>IF(A219="","",IF(E219="",1E+99,J219-SUMIFS($F$2:F219,$E$2:E219,E219)))</f>
        <v/>
      </c>
      <c r="L219" s="5">
        <f>IF(A219="","",IF(OR(H219&lt;0,I219&lt;0,K219&lt;0),"UNMOEGLICH","OK"))</f>
        <v/>
      </c>
    </row>
    <row r="220">
      <c r="A220" s="7">
        <f>IF(ROW()-1&lt;=Eingabe!$B$4-Eingabe!$B$3+1,Eingabe!$B$3+ROW()-2,"")</f>
        <v/>
      </c>
      <c r="B220" s="5">
        <f>IF(A220="","",TEXT(A220,"yyyy-mm-dd"))</f>
        <v/>
      </c>
      <c r="C220" s="5">
        <f>IF(A220="","",TEXT(A220,"ddd"))</f>
        <v/>
      </c>
      <c r="D220" s="5">
        <f>IF(A220="","",TEXT(A220,"yyyy-mm"))</f>
        <v/>
      </c>
      <c r="E220" s="5">
        <f>IF(A220="","",IF(A220&lt;Eingabe!$B$5,"",INT((A220-Eingabe!$B$5)/(Eingabe!$B$6*7))+1))</f>
        <v/>
      </c>
      <c r="F220" s="8">
        <f>IF(A220="","",SUMPRODUCT((Eingabe!$B$16:$B$165&lt;&gt;"")*(Eingabe!$J$16:$J$165)*--(A220&gt;=Eingabe!$G$16:$G$165)*--(A220&lt;=Eingabe!$H$16:$H$165)*--(WEEKDAY(A220,2)&lt;=5)))</f>
        <v/>
      </c>
      <c r="G220" s="8">
        <f>IF(A220="","",SUM($F$2:F220))</f>
        <v/>
      </c>
      <c r="H220" s="8">
        <f>IF(A220="","",Eingabe!$B$7-G220)</f>
        <v/>
      </c>
      <c r="I220" s="8">
        <f>IF(A220="","",Eingabe!$B$8-SUMIFS($F$2:F220,$D$2:D220,D220))</f>
        <v/>
      </c>
      <c r="J220" s="8">
        <f>IF(A220="","",IF(E220="",1E+99,IFERROR(VLOOKUP(E220,Eingabe!$D$5:$E$44,2,FALSE),Eingabe!$B$9)))</f>
        <v/>
      </c>
      <c r="K220" s="8">
        <f>IF(A220="","",IF(E220="",1E+99,J220-SUMIFS($F$2:F220,$E$2:E220,E220)))</f>
        <v/>
      </c>
      <c r="L220" s="5">
        <f>IF(A220="","",IF(OR(H220&lt;0,I220&lt;0,K220&lt;0),"UNMOEGLICH","OK"))</f>
        <v/>
      </c>
    </row>
    <row r="221">
      <c r="A221" s="7">
        <f>IF(ROW()-1&lt;=Eingabe!$B$4-Eingabe!$B$3+1,Eingabe!$B$3+ROW()-2,"")</f>
        <v/>
      </c>
      <c r="B221" s="5">
        <f>IF(A221="","",TEXT(A221,"yyyy-mm-dd"))</f>
        <v/>
      </c>
      <c r="C221" s="5">
        <f>IF(A221="","",TEXT(A221,"ddd"))</f>
        <v/>
      </c>
      <c r="D221" s="5">
        <f>IF(A221="","",TEXT(A221,"yyyy-mm"))</f>
        <v/>
      </c>
      <c r="E221" s="5">
        <f>IF(A221="","",IF(A221&lt;Eingabe!$B$5,"",INT((A221-Eingabe!$B$5)/(Eingabe!$B$6*7))+1))</f>
        <v/>
      </c>
      <c r="F221" s="8">
        <f>IF(A221="","",SUMPRODUCT((Eingabe!$B$16:$B$165&lt;&gt;"")*(Eingabe!$J$16:$J$165)*--(A221&gt;=Eingabe!$G$16:$G$165)*--(A221&lt;=Eingabe!$H$16:$H$165)*--(WEEKDAY(A221,2)&lt;=5)))</f>
        <v/>
      </c>
      <c r="G221" s="8">
        <f>IF(A221="","",SUM($F$2:F221))</f>
        <v/>
      </c>
      <c r="H221" s="8">
        <f>IF(A221="","",Eingabe!$B$7-G221)</f>
        <v/>
      </c>
      <c r="I221" s="8">
        <f>IF(A221="","",Eingabe!$B$8-SUMIFS($F$2:F221,$D$2:D221,D221))</f>
        <v/>
      </c>
      <c r="J221" s="8">
        <f>IF(A221="","",IF(E221="",1E+99,IFERROR(VLOOKUP(E221,Eingabe!$D$5:$E$44,2,FALSE),Eingabe!$B$9)))</f>
        <v/>
      </c>
      <c r="K221" s="8">
        <f>IF(A221="","",IF(E221="",1E+99,J221-SUMIFS($F$2:F221,$E$2:E221,E221)))</f>
        <v/>
      </c>
      <c r="L221" s="5">
        <f>IF(A221="","",IF(OR(H221&lt;0,I221&lt;0,K221&lt;0),"UNMOEGLICH","OK"))</f>
        <v/>
      </c>
    </row>
    <row r="222">
      <c r="A222" s="7">
        <f>IF(ROW()-1&lt;=Eingabe!$B$4-Eingabe!$B$3+1,Eingabe!$B$3+ROW()-2,"")</f>
        <v/>
      </c>
      <c r="B222" s="5">
        <f>IF(A222="","",TEXT(A222,"yyyy-mm-dd"))</f>
        <v/>
      </c>
      <c r="C222" s="5">
        <f>IF(A222="","",TEXT(A222,"ddd"))</f>
        <v/>
      </c>
      <c r="D222" s="5">
        <f>IF(A222="","",TEXT(A222,"yyyy-mm"))</f>
        <v/>
      </c>
      <c r="E222" s="5">
        <f>IF(A222="","",IF(A222&lt;Eingabe!$B$5,"",INT((A222-Eingabe!$B$5)/(Eingabe!$B$6*7))+1))</f>
        <v/>
      </c>
      <c r="F222" s="8">
        <f>IF(A222="","",SUMPRODUCT((Eingabe!$B$16:$B$165&lt;&gt;"")*(Eingabe!$J$16:$J$165)*--(A222&gt;=Eingabe!$G$16:$G$165)*--(A222&lt;=Eingabe!$H$16:$H$165)*--(WEEKDAY(A222,2)&lt;=5)))</f>
        <v/>
      </c>
      <c r="G222" s="8">
        <f>IF(A222="","",SUM($F$2:F222))</f>
        <v/>
      </c>
      <c r="H222" s="8">
        <f>IF(A222="","",Eingabe!$B$7-G222)</f>
        <v/>
      </c>
      <c r="I222" s="8">
        <f>IF(A222="","",Eingabe!$B$8-SUMIFS($F$2:F222,$D$2:D222,D222))</f>
        <v/>
      </c>
      <c r="J222" s="8">
        <f>IF(A222="","",IF(E222="",1E+99,IFERROR(VLOOKUP(E222,Eingabe!$D$5:$E$44,2,FALSE),Eingabe!$B$9)))</f>
        <v/>
      </c>
      <c r="K222" s="8">
        <f>IF(A222="","",IF(E222="",1E+99,J222-SUMIFS($F$2:F222,$E$2:E222,E222)))</f>
        <v/>
      </c>
      <c r="L222" s="5">
        <f>IF(A222="","",IF(OR(H222&lt;0,I222&lt;0,K222&lt;0),"UNMOEGLICH","OK"))</f>
        <v/>
      </c>
    </row>
    <row r="223">
      <c r="A223" s="7">
        <f>IF(ROW()-1&lt;=Eingabe!$B$4-Eingabe!$B$3+1,Eingabe!$B$3+ROW()-2,"")</f>
        <v/>
      </c>
      <c r="B223" s="5">
        <f>IF(A223="","",TEXT(A223,"yyyy-mm-dd"))</f>
        <v/>
      </c>
      <c r="C223" s="5">
        <f>IF(A223="","",TEXT(A223,"ddd"))</f>
        <v/>
      </c>
      <c r="D223" s="5">
        <f>IF(A223="","",TEXT(A223,"yyyy-mm"))</f>
        <v/>
      </c>
      <c r="E223" s="5">
        <f>IF(A223="","",IF(A223&lt;Eingabe!$B$5,"",INT((A223-Eingabe!$B$5)/(Eingabe!$B$6*7))+1))</f>
        <v/>
      </c>
      <c r="F223" s="8">
        <f>IF(A223="","",SUMPRODUCT((Eingabe!$B$16:$B$165&lt;&gt;"")*(Eingabe!$J$16:$J$165)*--(A223&gt;=Eingabe!$G$16:$G$165)*--(A223&lt;=Eingabe!$H$16:$H$165)*--(WEEKDAY(A223,2)&lt;=5)))</f>
        <v/>
      </c>
      <c r="G223" s="8">
        <f>IF(A223="","",SUM($F$2:F223))</f>
        <v/>
      </c>
      <c r="H223" s="8">
        <f>IF(A223="","",Eingabe!$B$7-G223)</f>
        <v/>
      </c>
      <c r="I223" s="8">
        <f>IF(A223="","",Eingabe!$B$8-SUMIFS($F$2:F223,$D$2:D223,D223))</f>
        <v/>
      </c>
      <c r="J223" s="8">
        <f>IF(A223="","",IF(E223="",1E+99,IFERROR(VLOOKUP(E223,Eingabe!$D$5:$E$44,2,FALSE),Eingabe!$B$9)))</f>
        <v/>
      </c>
      <c r="K223" s="8">
        <f>IF(A223="","",IF(E223="",1E+99,J223-SUMIFS($F$2:F223,$E$2:E223,E223)))</f>
        <v/>
      </c>
      <c r="L223" s="5">
        <f>IF(A223="","",IF(OR(H223&lt;0,I223&lt;0,K223&lt;0),"UNMOEGLICH","OK"))</f>
        <v/>
      </c>
    </row>
    <row r="224">
      <c r="A224" s="7">
        <f>IF(ROW()-1&lt;=Eingabe!$B$4-Eingabe!$B$3+1,Eingabe!$B$3+ROW()-2,"")</f>
        <v/>
      </c>
      <c r="B224" s="5">
        <f>IF(A224="","",TEXT(A224,"yyyy-mm-dd"))</f>
        <v/>
      </c>
      <c r="C224" s="5">
        <f>IF(A224="","",TEXT(A224,"ddd"))</f>
        <v/>
      </c>
      <c r="D224" s="5">
        <f>IF(A224="","",TEXT(A224,"yyyy-mm"))</f>
        <v/>
      </c>
      <c r="E224" s="5">
        <f>IF(A224="","",IF(A224&lt;Eingabe!$B$5,"",INT((A224-Eingabe!$B$5)/(Eingabe!$B$6*7))+1))</f>
        <v/>
      </c>
      <c r="F224" s="8">
        <f>IF(A224="","",SUMPRODUCT((Eingabe!$B$16:$B$165&lt;&gt;"")*(Eingabe!$J$16:$J$165)*--(A224&gt;=Eingabe!$G$16:$G$165)*--(A224&lt;=Eingabe!$H$16:$H$165)*--(WEEKDAY(A224,2)&lt;=5)))</f>
        <v/>
      </c>
      <c r="G224" s="8">
        <f>IF(A224="","",SUM($F$2:F224))</f>
        <v/>
      </c>
      <c r="H224" s="8">
        <f>IF(A224="","",Eingabe!$B$7-G224)</f>
        <v/>
      </c>
      <c r="I224" s="8">
        <f>IF(A224="","",Eingabe!$B$8-SUMIFS($F$2:F224,$D$2:D224,D224))</f>
        <v/>
      </c>
      <c r="J224" s="8">
        <f>IF(A224="","",IF(E224="",1E+99,IFERROR(VLOOKUP(E224,Eingabe!$D$5:$E$44,2,FALSE),Eingabe!$B$9)))</f>
        <v/>
      </c>
      <c r="K224" s="8">
        <f>IF(A224="","",IF(E224="",1E+99,J224-SUMIFS($F$2:F224,$E$2:E224,E224)))</f>
        <v/>
      </c>
      <c r="L224" s="5">
        <f>IF(A224="","",IF(OR(H224&lt;0,I224&lt;0,K224&lt;0),"UNMOEGLICH","OK"))</f>
        <v/>
      </c>
    </row>
    <row r="225">
      <c r="A225" s="7">
        <f>IF(ROW()-1&lt;=Eingabe!$B$4-Eingabe!$B$3+1,Eingabe!$B$3+ROW()-2,"")</f>
        <v/>
      </c>
      <c r="B225" s="5">
        <f>IF(A225="","",TEXT(A225,"yyyy-mm-dd"))</f>
        <v/>
      </c>
      <c r="C225" s="5">
        <f>IF(A225="","",TEXT(A225,"ddd"))</f>
        <v/>
      </c>
      <c r="D225" s="5">
        <f>IF(A225="","",TEXT(A225,"yyyy-mm"))</f>
        <v/>
      </c>
      <c r="E225" s="5">
        <f>IF(A225="","",IF(A225&lt;Eingabe!$B$5,"",INT((A225-Eingabe!$B$5)/(Eingabe!$B$6*7))+1))</f>
        <v/>
      </c>
      <c r="F225" s="8">
        <f>IF(A225="","",SUMPRODUCT((Eingabe!$B$16:$B$165&lt;&gt;"")*(Eingabe!$J$16:$J$165)*--(A225&gt;=Eingabe!$G$16:$G$165)*--(A225&lt;=Eingabe!$H$16:$H$165)*--(WEEKDAY(A225,2)&lt;=5)))</f>
        <v/>
      </c>
      <c r="G225" s="8">
        <f>IF(A225="","",SUM($F$2:F225))</f>
        <v/>
      </c>
      <c r="H225" s="8">
        <f>IF(A225="","",Eingabe!$B$7-G225)</f>
        <v/>
      </c>
      <c r="I225" s="8">
        <f>IF(A225="","",Eingabe!$B$8-SUMIFS($F$2:F225,$D$2:D225,D225))</f>
        <v/>
      </c>
      <c r="J225" s="8">
        <f>IF(A225="","",IF(E225="",1E+99,IFERROR(VLOOKUP(E225,Eingabe!$D$5:$E$44,2,FALSE),Eingabe!$B$9)))</f>
        <v/>
      </c>
      <c r="K225" s="8">
        <f>IF(A225="","",IF(E225="",1E+99,J225-SUMIFS($F$2:F225,$E$2:E225,E225)))</f>
        <v/>
      </c>
      <c r="L225" s="5">
        <f>IF(A225="","",IF(OR(H225&lt;0,I225&lt;0,K225&lt;0),"UNMOEGLICH","OK"))</f>
        <v/>
      </c>
    </row>
    <row r="226">
      <c r="A226" s="7">
        <f>IF(ROW()-1&lt;=Eingabe!$B$4-Eingabe!$B$3+1,Eingabe!$B$3+ROW()-2,"")</f>
        <v/>
      </c>
      <c r="B226" s="5">
        <f>IF(A226="","",TEXT(A226,"yyyy-mm-dd"))</f>
        <v/>
      </c>
      <c r="C226" s="5">
        <f>IF(A226="","",TEXT(A226,"ddd"))</f>
        <v/>
      </c>
      <c r="D226" s="5">
        <f>IF(A226="","",TEXT(A226,"yyyy-mm"))</f>
        <v/>
      </c>
      <c r="E226" s="5">
        <f>IF(A226="","",IF(A226&lt;Eingabe!$B$5,"",INT((A226-Eingabe!$B$5)/(Eingabe!$B$6*7))+1))</f>
        <v/>
      </c>
      <c r="F226" s="8">
        <f>IF(A226="","",SUMPRODUCT((Eingabe!$B$16:$B$165&lt;&gt;"")*(Eingabe!$J$16:$J$165)*--(A226&gt;=Eingabe!$G$16:$G$165)*--(A226&lt;=Eingabe!$H$16:$H$165)*--(WEEKDAY(A226,2)&lt;=5)))</f>
        <v/>
      </c>
      <c r="G226" s="8">
        <f>IF(A226="","",SUM($F$2:F226))</f>
        <v/>
      </c>
      <c r="H226" s="8">
        <f>IF(A226="","",Eingabe!$B$7-G226)</f>
        <v/>
      </c>
      <c r="I226" s="8">
        <f>IF(A226="","",Eingabe!$B$8-SUMIFS($F$2:F226,$D$2:D226,D226))</f>
        <v/>
      </c>
      <c r="J226" s="8">
        <f>IF(A226="","",IF(E226="",1E+99,IFERROR(VLOOKUP(E226,Eingabe!$D$5:$E$44,2,FALSE),Eingabe!$B$9)))</f>
        <v/>
      </c>
      <c r="K226" s="8">
        <f>IF(A226="","",IF(E226="",1E+99,J226-SUMIFS($F$2:F226,$E$2:E226,E226)))</f>
        <v/>
      </c>
      <c r="L226" s="5">
        <f>IF(A226="","",IF(OR(H226&lt;0,I226&lt;0,K226&lt;0),"UNMOEGLICH","OK"))</f>
        <v/>
      </c>
    </row>
    <row r="227">
      <c r="A227" s="7">
        <f>IF(ROW()-1&lt;=Eingabe!$B$4-Eingabe!$B$3+1,Eingabe!$B$3+ROW()-2,"")</f>
        <v/>
      </c>
      <c r="B227" s="5">
        <f>IF(A227="","",TEXT(A227,"yyyy-mm-dd"))</f>
        <v/>
      </c>
      <c r="C227" s="5">
        <f>IF(A227="","",TEXT(A227,"ddd"))</f>
        <v/>
      </c>
      <c r="D227" s="5">
        <f>IF(A227="","",TEXT(A227,"yyyy-mm"))</f>
        <v/>
      </c>
      <c r="E227" s="5">
        <f>IF(A227="","",IF(A227&lt;Eingabe!$B$5,"",INT((A227-Eingabe!$B$5)/(Eingabe!$B$6*7))+1))</f>
        <v/>
      </c>
      <c r="F227" s="8">
        <f>IF(A227="","",SUMPRODUCT((Eingabe!$B$16:$B$165&lt;&gt;"")*(Eingabe!$J$16:$J$165)*--(A227&gt;=Eingabe!$G$16:$G$165)*--(A227&lt;=Eingabe!$H$16:$H$165)*--(WEEKDAY(A227,2)&lt;=5)))</f>
        <v/>
      </c>
      <c r="G227" s="8">
        <f>IF(A227="","",SUM($F$2:F227))</f>
        <v/>
      </c>
      <c r="H227" s="8">
        <f>IF(A227="","",Eingabe!$B$7-G227)</f>
        <v/>
      </c>
      <c r="I227" s="8">
        <f>IF(A227="","",Eingabe!$B$8-SUMIFS($F$2:F227,$D$2:D227,D227))</f>
        <v/>
      </c>
      <c r="J227" s="8">
        <f>IF(A227="","",IF(E227="",1E+99,IFERROR(VLOOKUP(E227,Eingabe!$D$5:$E$44,2,FALSE),Eingabe!$B$9)))</f>
        <v/>
      </c>
      <c r="K227" s="8">
        <f>IF(A227="","",IF(E227="",1E+99,J227-SUMIFS($F$2:F227,$E$2:E227,E227)))</f>
        <v/>
      </c>
      <c r="L227" s="5">
        <f>IF(A227="","",IF(OR(H227&lt;0,I227&lt;0,K227&lt;0),"UNMOEGLICH","OK"))</f>
        <v/>
      </c>
    </row>
    <row r="228">
      <c r="A228" s="7">
        <f>IF(ROW()-1&lt;=Eingabe!$B$4-Eingabe!$B$3+1,Eingabe!$B$3+ROW()-2,"")</f>
        <v/>
      </c>
      <c r="B228" s="5">
        <f>IF(A228="","",TEXT(A228,"yyyy-mm-dd"))</f>
        <v/>
      </c>
      <c r="C228" s="5">
        <f>IF(A228="","",TEXT(A228,"ddd"))</f>
        <v/>
      </c>
      <c r="D228" s="5">
        <f>IF(A228="","",TEXT(A228,"yyyy-mm"))</f>
        <v/>
      </c>
      <c r="E228" s="5">
        <f>IF(A228="","",IF(A228&lt;Eingabe!$B$5,"",INT((A228-Eingabe!$B$5)/(Eingabe!$B$6*7))+1))</f>
        <v/>
      </c>
      <c r="F228" s="8">
        <f>IF(A228="","",SUMPRODUCT((Eingabe!$B$16:$B$165&lt;&gt;"")*(Eingabe!$J$16:$J$165)*--(A228&gt;=Eingabe!$G$16:$G$165)*--(A228&lt;=Eingabe!$H$16:$H$165)*--(WEEKDAY(A228,2)&lt;=5)))</f>
        <v/>
      </c>
      <c r="G228" s="8">
        <f>IF(A228="","",SUM($F$2:F228))</f>
        <v/>
      </c>
      <c r="H228" s="8">
        <f>IF(A228="","",Eingabe!$B$7-G228)</f>
        <v/>
      </c>
      <c r="I228" s="8">
        <f>IF(A228="","",Eingabe!$B$8-SUMIFS($F$2:F228,$D$2:D228,D228))</f>
        <v/>
      </c>
      <c r="J228" s="8">
        <f>IF(A228="","",IF(E228="",1E+99,IFERROR(VLOOKUP(E228,Eingabe!$D$5:$E$44,2,FALSE),Eingabe!$B$9)))</f>
        <v/>
      </c>
      <c r="K228" s="8">
        <f>IF(A228="","",IF(E228="",1E+99,J228-SUMIFS($F$2:F228,$E$2:E228,E228)))</f>
        <v/>
      </c>
      <c r="L228" s="5">
        <f>IF(A228="","",IF(OR(H228&lt;0,I228&lt;0,K228&lt;0),"UNMOEGLICH","OK"))</f>
        <v/>
      </c>
    </row>
    <row r="229">
      <c r="A229" s="7">
        <f>IF(ROW()-1&lt;=Eingabe!$B$4-Eingabe!$B$3+1,Eingabe!$B$3+ROW()-2,"")</f>
        <v/>
      </c>
      <c r="B229" s="5">
        <f>IF(A229="","",TEXT(A229,"yyyy-mm-dd"))</f>
        <v/>
      </c>
      <c r="C229" s="5">
        <f>IF(A229="","",TEXT(A229,"ddd"))</f>
        <v/>
      </c>
      <c r="D229" s="5">
        <f>IF(A229="","",TEXT(A229,"yyyy-mm"))</f>
        <v/>
      </c>
      <c r="E229" s="5">
        <f>IF(A229="","",IF(A229&lt;Eingabe!$B$5,"",INT((A229-Eingabe!$B$5)/(Eingabe!$B$6*7))+1))</f>
        <v/>
      </c>
      <c r="F229" s="8">
        <f>IF(A229="","",SUMPRODUCT((Eingabe!$B$16:$B$165&lt;&gt;"")*(Eingabe!$J$16:$J$165)*--(A229&gt;=Eingabe!$G$16:$G$165)*--(A229&lt;=Eingabe!$H$16:$H$165)*--(WEEKDAY(A229,2)&lt;=5)))</f>
        <v/>
      </c>
      <c r="G229" s="8">
        <f>IF(A229="","",SUM($F$2:F229))</f>
        <v/>
      </c>
      <c r="H229" s="8">
        <f>IF(A229="","",Eingabe!$B$7-G229)</f>
        <v/>
      </c>
      <c r="I229" s="8">
        <f>IF(A229="","",Eingabe!$B$8-SUMIFS($F$2:F229,$D$2:D229,D229))</f>
        <v/>
      </c>
      <c r="J229" s="8">
        <f>IF(A229="","",IF(E229="",1E+99,IFERROR(VLOOKUP(E229,Eingabe!$D$5:$E$44,2,FALSE),Eingabe!$B$9)))</f>
        <v/>
      </c>
      <c r="K229" s="8">
        <f>IF(A229="","",IF(E229="",1E+99,J229-SUMIFS($F$2:F229,$E$2:E229,E229)))</f>
        <v/>
      </c>
      <c r="L229" s="5">
        <f>IF(A229="","",IF(OR(H229&lt;0,I229&lt;0,K229&lt;0),"UNMOEGLICH","OK"))</f>
        <v/>
      </c>
    </row>
    <row r="230">
      <c r="A230" s="7">
        <f>IF(ROW()-1&lt;=Eingabe!$B$4-Eingabe!$B$3+1,Eingabe!$B$3+ROW()-2,"")</f>
        <v/>
      </c>
      <c r="B230" s="5">
        <f>IF(A230="","",TEXT(A230,"yyyy-mm-dd"))</f>
        <v/>
      </c>
      <c r="C230" s="5">
        <f>IF(A230="","",TEXT(A230,"ddd"))</f>
        <v/>
      </c>
      <c r="D230" s="5">
        <f>IF(A230="","",TEXT(A230,"yyyy-mm"))</f>
        <v/>
      </c>
      <c r="E230" s="5">
        <f>IF(A230="","",IF(A230&lt;Eingabe!$B$5,"",INT((A230-Eingabe!$B$5)/(Eingabe!$B$6*7))+1))</f>
        <v/>
      </c>
      <c r="F230" s="8">
        <f>IF(A230="","",SUMPRODUCT((Eingabe!$B$16:$B$165&lt;&gt;"")*(Eingabe!$J$16:$J$165)*--(A230&gt;=Eingabe!$G$16:$G$165)*--(A230&lt;=Eingabe!$H$16:$H$165)*--(WEEKDAY(A230,2)&lt;=5)))</f>
        <v/>
      </c>
      <c r="G230" s="8">
        <f>IF(A230="","",SUM($F$2:F230))</f>
        <v/>
      </c>
      <c r="H230" s="8">
        <f>IF(A230="","",Eingabe!$B$7-G230)</f>
        <v/>
      </c>
      <c r="I230" s="8">
        <f>IF(A230="","",Eingabe!$B$8-SUMIFS($F$2:F230,$D$2:D230,D230))</f>
        <v/>
      </c>
      <c r="J230" s="8">
        <f>IF(A230="","",IF(E230="",1E+99,IFERROR(VLOOKUP(E230,Eingabe!$D$5:$E$44,2,FALSE),Eingabe!$B$9)))</f>
        <v/>
      </c>
      <c r="K230" s="8">
        <f>IF(A230="","",IF(E230="",1E+99,J230-SUMIFS($F$2:F230,$E$2:E230,E230)))</f>
        <v/>
      </c>
      <c r="L230" s="5">
        <f>IF(A230="","",IF(OR(H230&lt;0,I230&lt;0,K230&lt;0),"UNMOEGLICH","OK"))</f>
        <v/>
      </c>
    </row>
    <row r="231">
      <c r="A231" s="7">
        <f>IF(ROW()-1&lt;=Eingabe!$B$4-Eingabe!$B$3+1,Eingabe!$B$3+ROW()-2,"")</f>
        <v/>
      </c>
      <c r="B231" s="5">
        <f>IF(A231="","",TEXT(A231,"yyyy-mm-dd"))</f>
        <v/>
      </c>
      <c r="C231" s="5">
        <f>IF(A231="","",TEXT(A231,"ddd"))</f>
        <v/>
      </c>
      <c r="D231" s="5">
        <f>IF(A231="","",TEXT(A231,"yyyy-mm"))</f>
        <v/>
      </c>
      <c r="E231" s="5">
        <f>IF(A231="","",IF(A231&lt;Eingabe!$B$5,"",INT((A231-Eingabe!$B$5)/(Eingabe!$B$6*7))+1))</f>
        <v/>
      </c>
      <c r="F231" s="8">
        <f>IF(A231="","",SUMPRODUCT((Eingabe!$B$16:$B$165&lt;&gt;"")*(Eingabe!$J$16:$J$165)*--(A231&gt;=Eingabe!$G$16:$G$165)*--(A231&lt;=Eingabe!$H$16:$H$165)*--(WEEKDAY(A231,2)&lt;=5)))</f>
        <v/>
      </c>
      <c r="G231" s="8">
        <f>IF(A231="","",SUM($F$2:F231))</f>
        <v/>
      </c>
      <c r="H231" s="8">
        <f>IF(A231="","",Eingabe!$B$7-G231)</f>
        <v/>
      </c>
      <c r="I231" s="8">
        <f>IF(A231="","",Eingabe!$B$8-SUMIFS($F$2:F231,$D$2:D231,D231))</f>
        <v/>
      </c>
      <c r="J231" s="8">
        <f>IF(A231="","",IF(E231="",1E+99,IFERROR(VLOOKUP(E231,Eingabe!$D$5:$E$44,2,FALSE),Eingabe!$B$9)))</f>
        <v/>
      </c>
      <c r="K231" s="8">
        <f>IF(A231="","",IF(E231="",1E+99,J231-SUMIFS($F$2:F231,$E$2:E231,E231)))</f>
        <v/>
      </c>
      <c r="L231" s="5">
        <f>IF(A231="","",IF(OR(H231&lt;0,I231&lt;0,K231&lt;0),"UNMOEGLICH","OK"))</f>
        <v/>
      </c>
    </row>
    <row r="232">
      <c r="A232" s="7">
        <f>IF(ROW()-1&lt;=Eingabe!$B$4-Eingabe!$B$3+1,Eingabe!$B$3+ROW()-2,"")</f>
        <v/>
      </c>
      <c r="B232" s="5">
        <f>IF(A232="","",TEXT(A232,"yyyy-mm-dd"))</f>
        <v/>
      </c>
      <c r="C232" s="5">
        <f>IF(A232="","",TEXT(A232,"ddd"))</f>
        <v/>
      </c>
      <c r="D232" s="5">
        <f>IF(A232="","",TEXT(A232,"yyyy-mm"))</f>
        <v/>
      </c>
      <c r="E232" s="5">
        <f>IF(A232="","",IF(A232&lt;Eingabe!$B$5,"",INT((A232-Eingabe!$B$5)/(Eingabe!$B$6*7))+1))</f>
        <v/>
      </c>
      <c r="F232" s="8">
        <f>IF(A232="","",SUMPRODUCT((Eingabe!$B$16:$B$165&lt;&gt;"")*(Eingabe!$J$16:$J$165)*--(A232&gt;=Eingabe!$G$16:$G$165)*--(A232&lt;=Eingabe!$H$16:$H$165)*--(WEEKDAY(A232,2)&lt;=5)))</f>
        <v/>
      </c>
      <c r="G232" s="8">
        <f>IF(A232="","",SUM($F$2:F232))</f>
        <v/>
      </c>
      <c r="H232" s="8">
        <f>IF(A232="","",Eingabe!$B$7-G232)</f>
        <v/>
      </c>
      <c r="I232" s="8">
        <f>IF(A232="","",Eingabe!$B$8-SUMIFS($F$2:F232,$D$2:D232,D232))</f>
        <v/>
      </c>
      <c r="J232" s="8">
        <f>IF(A232="","",IF(E232="",1E+99,IFERROR(VLOOKUP(E232,Eingabe!$D$5:$E$44,2,FALSE),Eingabe!$B$9)))</f>
        <v/>
      </c>
      <c r="K232" s="8">
        <f>IF(A232="","",IF(E232="",1E+99,J232-SUMIFS($F$2:F232,$E$2:E232,E232)))</f>
        <v/>
      </c>
      <c r="L232" s="5">
        <f>IF(A232="","",IF(OR(H232&lt;0,I232&lt;0,K232&lt;0),"UNMOEGLICH","OK"))</f>
        <v/>
      </c>
    </row>
    <row r="233">
      <c r="A233" s="7">
        <f>IF(ROW()-1&lt;=Eingabe!$B$4-Eingabe!$B$3+1,Eingabe!$B$3+ROW()-2,"")</f>
        <v/>
      </c>
      <c r="B233" s="5">
        <f>IF(A233="","",TEXT(A233,"yyyy-mm-dd"))</f>
        <v/>
      </c>
      <c r="C233" s="5">
        <f>IF(A233="","",TEXT(A233,"ddd"))</f>
        <v/>
      </c>
      <c r="D233" s="5">
        <f>IF(A233="","",TEXT(A233,"yyyy-mm"))</f>
        <v/>
      </c>
      <c r="E233" s="5">
        <f>IF(A233="","",IF(A233&lt;Eingabe!$B$5,"",INT((A233-Eingabe!$B$5)/(Eingabe!$B$6*7))+1))</f>
        <v/>
      </c>
      <c r="F233" s="8">
        <f>IF(A233="","",SUMPRODUCT((Eingabe!$B$16:$B$165&lt;&gt;"")*(Eingabe!$J$16:$J$165)*--(A233&gt;=Eingabe!$G$16:$G$165)*--(A233&lt;=Eingabe!$H$16:$H$165)*--(WEEKDAY(A233,2)&lt;=5)))</f>
        <v/>
      </c>
      <c r="G233" s="8">
        <f>IF(A233="","",SUM($F$2:F233))</f>
        <v/>
      </c>
      <c r="H233" s="8">
        <f>IF(A233="","",Eingabe!$B$7-G233)</f>
        <v/>
      </c>
      <c r="I233" s="8">
        <f>IF(A233="","",Eingabe!$B$8-SUMIFS($F$2:F233,$D$2:D233,D233))</f>
        <v/>
      </c>
      <c r="J233" s="8">
        <f>IF(A233="","",IF(E233="",1E+99,IFERROR(VLOOKUP(E233,Eingabe!$D$5:$E$44,2,FALSE),Eingabe!$B$9)))</f>
        <v/>
      </c>
      <c r="K233" s="8">
        <f>IF(A233="","",IF(E233="",1E+99,J233-SUMIFS($F$2:F233,$E$2:E233,E233)))</f>
        <v/>
      </c>
      <c r="L233" s="5">
        <f>IF(A233="","",IF(OR(H233&lt;0,I233&lt;0,K233&lt;0),"UNMOEGLICH","OK"))</f>
        <v/>
      </c>
    </row>
    <row r="234">
      <c r="A234" s="7">
        <f>IF(ROW()-1&lt;=Eingabe!$B$4-Eingabe!$B$3+1,Eingabe!$B$3+ROW()-2,"")</f>
        <v/>
      </c>
      <c r="B234" s="5">
        <f>IF(A234="","",TEXT(A234,"yyyy-mm-dd"))</f>
        <v/>
      </c>
      <c r="C234" s="5">
        <f>IF(A234="","",TEXT(A234,"ddd"))</f>
        <v/>
      </c>
      <c r="D234" s="5">
        <f>IF(A234="","",TEXT(A234,"yyyy-mm"))</f>
        <v/>
      </c>
      <c r="E234" s="5">
        <f>IF(A234="","",IF(A234&lt;Eingabe!$B$5,"",INT((A234-Eingabe!$B$5)/(Eingabe!$B$6*7))+1))</f>
        <v/>
      </c>
      <c r="F234" s="8">
        <f>IF(A234="","",SUMPRODUCT((Eingabe!$B$16:$B$165&lt;&gt;"")*(Eingabe!$J$16:$J$165)*--(A234&gt;=Eingabe!$G$16:$G$165)*--(A234&lt;=Eingabe!$H$16:$H$165)*--(WEEKDAY(A234,2)&lt;=5)))</f>
        <v/>
      </c>
      <c r="G234" s="8">
        <f>IF(A234="","",SUM($F$2:F234))</f>
        <v/>
      </c>
      <c r="H234" s="8">
        <f>IF(A234="","",Eingabe!$B$7-G234)</f>
        <v/>
      </c>
      <c r="I234" s="8">
        <f>IF(A234="","",Eingabe!$B$8-SUMIFS($F$2:F234,$D$2:D234,D234))</f>
        <v/>
      </c>
      <c r="J234" s="8">
        <f>IF(A234="","",IF(E234="",1E+99,IFERROR(VLOOKUP(E234,Eingabe!$D$5:$E$44,2,FALSE),Eingabe!$B$9)))</f>
        <v/>
      </c>
      <c r="K234" s="8">
        <f>IF(A234="","",IF(E234="",1E+99,J234-SUMIFS($F$2:F234,$E$2:E234,E234)))</f>
        <v/>
      </c>
      <c r="L234" s="5">
        <f>IF(A234="","",IF(OR(H234&lt;0,I234&lt;0,K234&lt;0),"UNMOEGLICH","OK"))</f>
        <v/>
      </c>
    </row>
    <row r="235">
      <c r="A235" s="7">
        <f>IF(ROW()-1&lt;=Eingabe!$B$4-Eingabe!$B$3+1,Eingabe!$B$3+ROW()-2,"")</f>
        <v/>
      </c>
      <c r="B235" s="5">
        <f>IF(A235="","",TEXT(A235,"yyyy-mm-dd"))</f>
        <v/>
      </c>
      <c r="C235" s="5">
        <f>IF(A235="","",TEXT(A235,"ddd"))</f>
        <v/>
      </c>
      <c r="D235" s="5">
        <f>IF(A235="","",TEXT(A235,"yyyy-mm"))</f>
        <v/>
      </c>
      <c r="E235" s="5">
        <f>IF(A235="","",IF(A235&lt;Eingabe!$B$5,"",INT((A235-Eingabe!$B$5)/(Eingabe!$B$6*7))+1))</f>
        <v/>
      </c>
      <c r="F235" s="8">
        <f>IF(A235="","",SUMPRODUCT((Eingabe!$B$16:$B$165&lt;&gt;"")*(Eingabe!$J$16:$J$165)*--(A235&gt;=Eingabe!$G$16:$G$165)*--(A235&lt;=Eingabe!$H$16:$H$165)*--(WEEKDAY(A235,2)&lt;=5)))</f>
        <v/>
      </c>
      <c r="G235" s="8">
        <f>IF(A235="","",SUM($F$2:F235))</f>
        <v/>
      </c>
      <c r="H235" s="8">
        <f>IF(A235="","",Eingabe!$B$7-G235)</f>
        <v/>
      </c>
      <c r="I235" s="8">
        <f>IF(A235="","",Eingabe!$B$8-SUMIFS($F$2:F235,$D$2:D235,D235))</f>
        <v/>
      </c>
      <c r="J235" s="8">
        <f>IF(A235="","",IF(E235="",1E+99,IFERROR(VLOOKUP(E235,Eingabe!$D$5:$E$44,2,FALSE),Eingabe!$B$9)))</f>
        <v/>
      </c>
      <c r="K235" s="8">
        <f>IF(A235="","",IF(E235="",1E+99,J235-SUMIFS($F$2:F235,$E$2:E235,E235)))</f>
        <v/>
      </c>
      <c r="L235" s="5">
        <f>IF(A235="","",IF(OR(H235&lt;0,I235&lt;0,K235&lt;0),"UNMOEGLICH","OK"))</f>
        <v/>
      </c>
    </row>
    <row r="236">
      <c r="A236" s="7">
        <f>IF(ROW()-1&lt;=Eingabe!$B$4-Eingabe!$B$3+1,Eingabe!$B$3+ROW()-2,"")</f>
        <v/>
      </c>
      <c r="B236" s="5">
        <f>IF(A236="","",TEXT(A236,"yyyy-mm-dd"))</f>
        <v/>
      </c>
      <c r="C236" s="5">
        <f>IF(A236="","",TEXT(A236,"ddd"))</f>
        <v/>
      </c>
      <c r="D236" s="5">
        <f>IF(A236="","",TEXT(A236,"yyyy-mm"))</f>
        <v/>
      </c>
      <c r="E236" s="5">
        <f>IF(A236="","",IF(A236&lt;Eingabe!$B$5,"",INT((A236-Eingabe!$B$5)/(Eingabe!$B$6*7))+1))</f>
        <v/>
      </c>
      <c r="F236" s="8">
        <f>IF(A236="","",SUMPRODUCT((Eingabe!$B$16:$B$165&lt;&gt;"")*(Eingabe!$J$16:$J$165)*--(A236&gt;=Eingabe!$G$16:$G$165)*--(A236&lt;=Eingabe!$H$16:$H$165)*--(WEEKDAY(A236,2)&lt;=5)))</f>
        <v/>
      </c>
      <c r="G236" s="8">
        <f>IF(A236="","",SUM($F$2:F236))</f>
        <v/>
      </c>
      <c r="H236" s="8">
        <f>IF(A236="","",Eingabe!$B$7-G236)</f>
        <v/>
      </c>
      <c r="I236" s="8">
        <f>IF(A236="","",Eingabe!$B$8-SUMIFS($F$2:F236,$D$2:D236,D236))</f>
        <v/>
      </c>
      <c r="J236" s="8">
        <f>IF(A236="","",IF(E236="",1E+99,IFERROR(VLOOKUP(E236,Eingabe!$D$5:$E$44,2,FALSE),Eingabe!$B$9)))</f>
        <v/>
      </c>
      <c r="K236" s="8">
        <f>IF(A236="","",IF(E236="",1E+99,J236-SUMIFS($F$2:F236,$E$2:E236,E236)))</f>
        <v/>
      </c>
      <c r="L236" s="5">
        <f>IF(A236="","",IF(OR(H236&lt;0,I236&lt;0,K236&lt;0),"UNMOEGLICH","OK"))</f>
        <v/>
      </c>
    </row>
    <row r="237">
      <c r="A237" s="7">
        <f>IF(ROW()-1&lt;=Eingabe!$B$4-Eingabe!$B$3+1,Eingabe!$B$3+ROW()-2,"")</f>
        <v/>
      </c>
      <c r="B237" s="5">
        <f>IF(A237="","",TEXT(A237,"yyyy-mm-dd"))</f>
        <v/>
      </c>
      <c r="C237" s="5">
        <f>IF(A237="","",TEXT(A237,"ddd"))</f>
        <v/>
      </c>
      <c r="D237" s="5">
        <f>IF(A237="","",TEXT(A237,"yyyy-mm"))</f>
        <v/>
      </c>
      <c r="E237" s="5">
        <f>IF(A237="","",IF(A237&lt;Eingabe!$B$5,"",INT((A237-Eingabe!$B$5)/(Eingabe!$B$6*7))+1))</f>
        <v/>
      </c>
      <c r="F237" s="8">
        <f>IF(A237="","",SUMPRODUCT((Eingabe!$B$16:$B$165&lt;&gt;"")*(Eingabe!$J$16:$J$165)*--(A237&gt;=Eingabe!$G$16:$G$165)*--(A237&lt;=Eingabe!$H$16:$H$165)*--(WEEKDAY(A237,2)&lt;=5)))</f>
        <v/>
      </c>
      <c r="G237" s="8">
        <f>IF(A237="","",SUM($F$2:F237))</f>
        <v/>
      </c>
      <c r="H237" s="8">
        <f>IF(A237="","",Eingabe!$B$7-G237)</f>
        <v/>
      </c>
      <c r="I237" s="8">
        <f>IF(A237="","",Eingabe!$B$8-SUMIFS($F$2:F237,$D$2:D237,D237))</f>
        <v/>
      </c>
      <c r="J237" s="8">
        <f>IF(A237="","",IF(E237="",1E+99,IFERROR(VLOOKUP(E237,Eingabe!$D$5:$E$44,2,FALSE),Eingabe!$B$9)))</f>
        <v/>
      </c>
      <c r="K237" s="8">
        <f>IF(A237="","",IF(E237="",1E+99,J237-SUMIFS($F$2:F237,$E$2:E237,E237)))</f>
        <v/>
      </c>
      <c r="L237" s="5">
        <f>IF(A237="","",IF(OR(H237&lt;0,I237&lt;0,K237&lt;0),"UNMOEGLICH","OK"))</f>
        <v/>
      </c>
    </row>
    <row r="238">
      <c r="A238" s="7">
        <f>IF(ROW()-1&lt;=Eingabe!$B$4-Eingabe!$B$3+1,Eingabe!$B$3+ROW()-2,"")</f>
        <v/>
      </c>
      <c r="B238" s="5">
        <f>IF(A238="","",TEXT(A238,"yyyy-mm-dd"))</f>
        <v/>
      </c>
      <c r="C238" s="5">
        <f>IF(A238="","",TEXT(A238,"ddd"))</f>
        <v/>
      </c>
      <c r="D238" s="5">
        <f>IF(A238="","",TEXT(A238,"yyyy-mm"))</f>
        <v/>
      </c>
      <c r="E238" s="5">
        <f>IF(A238="","",IF(A238&lt;Eingabe!$B$5,"",INT((A238-Eingabe!$B$5)/(Eingabe!$B$6*7))+1))</f>
        <v/>
      </c>
      <c r="F238" s="8">
        <f>IF(A238="","",SUMPRODUCT((Eingabe!$B$16:$B$165&lt;&gt;"")*(Eingabe!$J$16:$J$165)*--(A238&gt;=Eingabe!$G$16:$G$165)*--(A238&lt;=Eingabe!$H$16:$H$165)*--(WEEKDAY(A238,2)&lt;=5)))</f>
        <v/>
      </c>
      <c r="G238" s="8">
        <f>IF(A238="","",SUM($F$2:F238))</f>
        <v/>
      </c>
      <c r="H238" s="8">
        <f>IF(A238="","",Eingabe!$B$7-G238)</f>
        <v/>
      </c>
      <c r="I238" s="8">
        <f>IF(A238="","",Eingabe!$B$8-SUMIFS($F$2:F238,$D$2:D238,D238))</f>
        <v/>
      </c>
      <c r="J238" s="8">
        <f>IF(A238="","",IF(E238="",1E+99,IFERROR(VLOOKUP(E238,Eingabe!$D$5:$E$44,2,FALSE),Eingabe!$B$9)))</f>
        <v/>
      </c>
      <c r="K238" s="8">
        <f>IF(A238="","",IF(E238="",1E+99,J238-SUMIFS($F$2:F238,$E$2:E238,E238)))</f>
        <v/>
      </c>
      <c r="L238" s="5">
        <f>IF(A238="","",IF(OR(H238&lt;0,I238&lt;0,K238&lt;0),"UNMOEGLICH","OK"))</f>
        <v/>
      </c>
    </row>
    <row r="239">
      <c r="A239" s="7">
        <f>IF(ROW()-1&lt;=Eingabe!$B$4-Eingabe!$B$3+1,Eingabe!$B$3+ROW()-2,"")</f>
        <v/>
      </c>
      <c r="B239" s="5">
        <f>IF(A239="","",TEXT(A239,"yyyy-mm-dd"))</f>
        <v/>
      </c>
      <c r="C239" s="5">
        <f>IF(A239="","",TEXT(A239,"ddd"))</f>
        <v/>
      </c>
      <c r="D239" s="5">
        <f>IF(A239="","",TEXT(A239,"yyyy-mm"))</f>
        <v/>
      </c>
      <c r="E239" s="5">
        <f>IF(A239="","",IF(A239&lt;Eingabe!$B$5,"",INT((A239-Eingabe!$B$5)/(Eingabe!$B$6*7))+1))</f>
        <v/>
      </c>
      <c r="F239" s="8">
        <f>IF(A239="","",SUMPRODUCT((Eingabe!$B$16:$B$165&lt;&gt;"")*(Eingabe!$J$16:$J$165)*--(A239&gt;=Eingabe!$G$16:$G$165)*--(A239&lt;=Eingabe!$H$16:$H$165)*--(WEEKDAY(A239,2)&lt;=5)))</f>
        <v/>
      </c>
      <c r="G239" s="8">
        <f>IF(A239="","",SUM($F$2:F239))</f>
        <v/>
      </c>
      <c r="H239" s="8">
        <f>IF(A239="","",Eingabe!$B$7-G239)</f>
        <v/>
      </c>
      <c r="I239" s="8">
        <f>IF(A239="","",Eingabe!$B$8-SUMIFS($F$2:F239,$D$2:D239,D239))</f>
        <v/>
      </c>
      <c r="J239" s="8">
        <f>IF(A239="","",IF(E239="",1E+99,IFERROR(VLOOKUP(E239,Eingabe!$D$5:$E$44,2,FALSE),Eingabe!$B$9)))</f>
        <v/>
      </c>
      <c r="K239" s="8">
        <f>IF(A239="","",IF(E239="",1E+99,J239-SUMIFS($F$2:F239,$E$2:E239,E239)))</f>
        <v/>
      </c>
      <c r="L239" s="5">
        <f>IF(A239="","",IF(OR(H239&lt;0,I239&lt;0,K239&lt;0),"UNMOEGLICH","OK"))</f>
        <v/>
      </c>
    </row>
    <row r="240">
      <c r="A240" s="7">
        <f>IF(ROW()-1&lt;=Eingabe!$B$4-Eingabe!$B$3+1,Eingabe!$B$3+ROW()-2,"")</f>
        <v/>
      </c>
      <c r="B240" s="5">
        <f>IF(A240="","",TEXT(A240,"yyyy-mm-dd"))</f>
        <v/>
      </c>
      <c r="C240" s="5">
        <f>IF(A240="","",TEXT(A240,"ddd"))</f>
        <v/>
      </c>
      <c r="D240" s="5">
        <f>IF(A240="","",TEXT(A240,"yyyy-mm"))</f>
        <v/>
      </c>
      <c r="E240" s="5">
        <f>IF(A240="","",IF(A240&lt;Eingabe!$B$5,"",INT((A240-Eingabe!$B$5)/(Eingabe!$B$6*7))+1))</f>
        <v/>
      </c>
      <c r="F240" s="8">
        <f>IF(A240="","",SUMPRODUCT((Eingabe!$B$16:$B$165&lt;&gt;"")*(Eingabe!$J$16:$J$165)*--(A240&gt;=Eingabe!$G$16:$G$165)*--(A240&lt;=Eingabe!$H$16:$H$165)*--(WEEKDAY(A240,2)&lt;=5)))</f>
        <v/>
      </c>
      <c r="G240" s="8">
        <f>IF(A240="","",SUM($F$2:F240))</f>
        <v/>
      </c>
      <c r="H240" s="8">
        <f>IF(A240="","",Eingabe!$B$7-G240)</f>
        <v/>
      </c>
      <c r="I240" s="8">
        <f>IF(A240="","",Eingabe!$B$8-SUMIFS($F$2:F240,$D$2:D240,D240))</f>
        <v/>
      </c>
      <c r="J240" s="8">
        <f>IF(A240="","",IF(E240="",1E+99,IFERROR(VLOOKUP(E240,Eingabe!$D$5:$E$44,2,FALSE),Eingabe!$B$9)))</f>
        <v/>
      </c>
      <c r="K240" s="8">
        <f>IF(A240="","",IF(E240="",1E+99,J240-SUMIFS($F$2:F240,$E$2:E240,E240)))</f>
        <v/>
      </c>
      <c r="L240" s="5">
        <f>IF(A240="","",IF(OR(H240&lt;0,I240&lt;0,K240&lt;0),"UNMOEGLICH","OK"))</f>
        <v/>
      </c>
    </row>
    <row r="241">
      <c r="A241" s="7">
        <f>IF(ROW()-1&lt;=Eingabe!$B$4-Eingabe!$B$3+1,Eingabe!$B$3+ROW()-2,"")</f>
        <v/>
      </c>
      <c r="B241" s="5">
        <f>IF(A241="","",TEXT(A241,"yyyy-mm-dd"))</f>
        <v/>
      </c>
      <c r="C241" s="5">
        <f>IF(A241="","",TEXT(A241,"ddd"))</f>
        <v/>
      </c>
      <c r="D241" s="5">
        <f>IF(A241="","",TEXT(A241,"yyyy-mm"))</f>
        <v/>
      </c>
      <c r="E241" s="5">
        <f>IF(A241="","",IF(A241&lt;Eingabe!$B$5,"",INT((A241-Eingabe!$B$5)/(Eingabe!$B$6*7))+1))</f>
        <v/>
      </c>
      <c r="F241" s="8">
        <f>IF(A241="","",SUMPRODUCT((Eingabe!$B$16:$B$165&lt;&gt;"")*(Eingabe!$J$16:$J$165)*--(A241&gt;=Eingabe!$G$16:$G$165)*--(A241&lt;=Eingabe!$H$16:$H$165)*--(WEEKDAY(A241,2)&lt;=5)))</f>
        <v/>
      </c>
      <c r="G241" s="8">
        <f>IF(A241="","",SUM($F$2:F241))</f>
        <v/>
      </c>
      <c r="H241" s="8">
        <f>IF(A241="","",Eingabe!$B$7-G241)</f>
        <v/>
      </c>
      <c r="I241" s="8">
        <f>IF(A241="","",Eingabe!$B$8-SUMIFS($F$2:F241,$D$2:D241,D241))</f>
        <v/>
      </c>
      <c r="J241" s="8">
        <f>IF(A241="","",IF(E241="",1E+99,IFERROR(VLOOKUP(E241,Eingabe!$D$5:$E$44,2,FALSE),Eingabe!$B$9)))</f>
        <v/>
      </c>
      <c r="K241" s="8">
        <f>IF(A241="","",IF(E241="",1E+99,J241-SUMIFS($F$2:F241,$E$2:E241,E241)))</f>
        <v/>
      </c>
      <c r="L241" s="5">
        <f>IF(A241="","",IF(OR(H241&lt;0,I241&lt;0,K241&lt;0),"UNMOEGLICH","OK"))</f>
        <v/>
      </c>
    </row>
    <row r="242">
      <c r="A242" s="7">
        <f>IF(ROW()-1&lt;=Eingabe!$B$4-Eingabe!$B$3+1,Eingabe!$B$3+ROW()-2,"")</f>
        <v/>
      </c>
      <c r="B242" s="5">
        <f>IF(A242="","",TEXT(A242,"yyyy-mm-dd"))</f>
        <v/>
      </c>
      <c r="C242" s="5">
        <f>IF(A242="","",TEXT(A242,"ddd"))</f>
        <v/>
      </c>
      <c r="D242" s="5">
        <f>IF(A242="","",TEXT(A242,"yyyy-mm"))</f>
        <v/>
      </c>
      <c r="E242" s="5">
        <f>IF(A242="","",IF(A242&lt;Eingabe!$B$5,"",INT((A242-Eingabe!$B$5)/(Eingabe!$B$6*7))+1))</f>
        <v/>
      </c>
      <c r="F242" s="8">
        <f>IF(A242="","",SUMPRODUCT((Eingabe!$B$16:$B$165&lt;&gt;"")*(Eingabe!$J$16:$J$165)*--(A242&gt;=Eingabe!$G$16:$G$165)*--(A242&lt;=Eingabe!$H$16:$H$165)*--(WEEKDAY(A242,2)&lt;=5)))</f>
        <v/>
      </c>
      <c r="G242" s="8">
        <f>IF(A242="","",SUM($F$2:F242))</f>
        <v/>
      </c>
      <c r="H242" s="8">
        <f>IF(A242="","",Eingabe!$B$7-G242)</f>
        <v/>
      </c>
      <c r="I242" s="8">
        <f>IF(A242="","",Eingabe!$B$8-SUMIFS($F$2:F242,$D$2:D242,D242))</f>
        <v/>
      </c>
      <c r="J242" s="8">
        <f>IF(A242="","",IF(E242="",1E+99,IFERROR(VLOOKUP(E242,Eingabe!$D$5:$E$44,2,FALSE),Eingabe!$B$9)))</f>
        <v/>
      </c>
      <c r="K242" s="8">
        <f>IF(A242="","",IF(E242="",1E+99,J242-SUMIFS($F$2:F242,$E$2:E242,E242)))</f>
        <v/>
      </c>
      <c r="L242" s="5">
        <f>IF(A242="","",IF(OR(H242&lt;0,I242&lt;0,K242&lt;0),"UNMOEGLICH","OK"))</f>
        <v/>
      </c>
    </row>
    <row r="243">
      <c r="A243" s="7">
        <f>IF(ROW()-1&lt;=Eingabe!$B$4-Eingabe!$B$3+1,Eingabe!$B$3+ROW()-2,"")</f>
        <v/>
      </c>
      <c r="B243" s="5">
        <f>IF(A243="","",TEXT(A243,"yyyy-mm-dd"))</f>
        <v/>
      </c>
      <c r="C243" s="5">
        <f>IF(A243="","",TEXT(A243,"ddd"))</f>
        <v/>
      </c>
      <c r="D243" s="5">
        <f>IF(A243="","",TEXT(A243,"yyyy-mm"))</f>
        <v/>
      </c>
      <c r="E243" s="5">
        <f>IF(A243="","",IF(A243&lt;Eingabe!$B$5,"",INT((A243-Eingabe!$B$5)/(Eingabe!$B$6*7))+1))</f>
        <v/>
      </c>
      <c r="F243" s="8">
        <f>IF(A243="","",SUMPRODUCT((Eingabe!$B$16:$B$165&lt;&gt;"")*(Eingabe!$J$16:$J$165)*--(A243&gt;=Eingabe!$G$16:$G$165)*--(A243&lt;=Eingabe!$H$16:$H$165)*--(WEEKDAY(A243,2)&lt;=5)))</f>
        <v/>
      </c>
      <c r="G243" s="8">
        <f>IF(A243="","",SUM($F$2:F243))</f>
        <v/>
      </c>
      <c r="H243" s="8">
        <f>IF(A243="","",Eingabe!$B$7-G243)</f>
        <v/>
      </c>
      <c r="I243" s="8">
        <f>IF(A243="","",Eingabe!$B$8-SUMIFS($F$2:F243,$D$2:D243,D243))</f>
        <v/>
      </c>
      <c r="J243" s="8">
        <f>IF(A243="","",IF(E243="",1E+99,IFERROR(VLOOKUP(E243,Eingabe!$D$5:$E$44,2,FALSE),Eingabe!$B$9)))</f>
        <v/>
      </c>
      <c r="K243" s="8">
        <f>IF(A243="","",IF(E243="",1E+99,J243-SUMIFS($F$2:F243,$E$2:E243,E243)))</f>
        <v/>
      </c>
      <c r="L243" s="5">
        <f>IF(A243="","",IF(OR(H243&lt;0,I243&lt;0,K243&lt;0),"UNMOEGLICH","OK"))</f>
        <v/>
      </c>
    </row>
    <row r="244">
      <c r="A244" s="7">
        <f>IF(ROW()-1&lt;=Eingabe!$B$4-Eingabe!$B$3+1,Eingabe!$B$3+ROW()-2,"")</f>
        <v/>
      </c>
      <c r="B244" s="5">
        <f>IF(A244="","",TEXT(A244,"yyyy-mm-dd"))</f>
        <v/>
      </c>
      <c r="C244" s="5">
        <f>IF(A244="","",TEXT(A244,"ddd"))</f>
        <v/>
      </c>
      <c r="D244" s="5">
        <f>IF(A244="","",TEXT(A244,"yyyy-mm"))</f>
        <v/>
      </c>
      <c r="E244" s="5">
        <f>IF(A244="","",IF(A244&lt;Eingabe!$B$5,"",INT((A244-Eingabe!$B$5)/(Eingabe!$B$6*7))+1))</f>
        <v/>
      </c>
      <c r="F244" s="8">
        <f>IF(A244="","",SUMPRODUCT((Eingabe!$B$16:$B$165&lt;&gt;"")*(Eingabe!$J$16:$J$165)*--(A244&gt;=Eingabe!$G$16:$G$165)*--(A244&lt;=Eingabe!$H$16:$H$165)*--(WEEKDAY(A244,2)&lt;=5)))</f>
        <v/>
      </c>
      <c r="G244" s="8">
        <f>IF(A244="","",SUM($F$2:F244))</f>
        <v/>
      </c>
      <c r="H244" s="8">
        <f>IF(A244="","",Eingabe!$B$7-G244)</f>
        <v/>
      </c>
      <c r="I244" s="8">
        <f>IF(A244="","",Eingabe!$B$8-SUMIFS($F$2:F244,$D$2:D244,D244))</f>
        <v/>
      </c>
      <c r="J244" s="8">
        <f>IF(A244="","",IF(E244="",1E+99,IFERROR(VLOOKUP(E244,Eingabe!$D$5:$E$44,2,FALSE),Eingabe!$B$9)))</f>
        <v/>
      </c>
      <c r="K244" s="8">
        <f>IF(A244="","",IF(E244="",1E+99,J244-SUMIFS($F$2:F244,$E$2:E244,E244)))</f>
        <v/>
      </c>
      <c r="L244" s="5">
        <f>IF(A244="","",IF(OR(H244&lt;0,I244&lt;0,K244&lt;0),"UNMOEGLICH","OK"))</f>
        <v/>
      </c>
    </row>
    <row r="245">
      <c r="A245" s="7">
        <f>IF(ROW()-1&lt;=Eingabe!$B$4-Eingabe!$B$3+1,Eingabe!$B$3+ROW()-2,"")</f>
        <v/>
      </c>
      <c r="B245" s="5">
        <f>IF(A245="","",TEXT(A245,"yyyy-mm-dd"))</f>
        <v/>
      </c>
      <c r="C245" s="5">
        <f>IF(A245="","",TEXT(A245,"ddd"))</f>
        <v/>
      </c>
      <c r="D245" s="5">
        <f>IF(A245="","",TEXT(A245,"yyyy-mm"))</f>
        <v/>
      </c>
      <c r="E245" s="5">
        <f>IF(A245="","",IF(A245&lt;Eingabe!$B$5,"",INT((A245-Eingabe!$B$5)/(Eingabe!$B$6*7))+1))</f>
        <v/>
      </c>
      <c r="F245" s="8">
        <f>IF(A245="","",SUMPRODUCT((Eingabe!$B$16:$B$165&lt;&gt;"")*(Eingabe!$J$16:$J$165)*--(A245&gt;=Eingabe!$G$16:$G$165)*--(A245&lt;=Eingabe!$H$16:$H$165)*--(WEEKDAY(A245,2)&lt;=5)))</f>
        <v/>
      </c>
      <c r="G245" s="8">
        <f>IF(A245="","",SUM($F$2:F245))</f>
        <v/>
      </c>
      <c r="H245" s="8">
        <f>IF(A245="","",Eingabe!$B$7-G245)</f>
        <v/>
      </c>
      <c r="I245" s="8">
        <f>IF(A245="","",Eingabe!$B$8-SUMIFS($F$2:F245,$D$2:D245,D245))</f>
        <v/>
      </c>
      <c r="J245" s="8">
        <f>IF(A245="","",IF(E245="",1E+99,IFERROR(VLOOKUP(E245,Eingabe!$D$5:$E$44,2,FALSE),Eingabe!$B$9)))</f>
        <v/>
      </c>
      <c r="K245" s="8">
        <f>IF(A245="","",IF(E245="",1E+99,J245-SUMIFS($F$2:F245,$E$2:E245,E245)))</f>
        <v/>
      </c>
      <c r="L245" s="5">
        <f>IF(A245="","",IF(OR(H245&lt;0,I245&lt;0,K245&lt;0),"UNMOEGLICH","OK"))</f>
        <v/>
      </c>
    </row>
    <row r="246">
      <c r="A246" s="7">
        <f>IF(ROW()-1&lt;=Eingabe!$B$4-Eingabe!$B$3+1,Eingabe!$B$3+ROW()-2,"")</f>
        <v/>
      </c>
      <c r="B246" s="5">
        <f>IF(A246="","",TEXT(A246,"yyyy-mm-dd"))</f>
        <v/>
      </c>
      <c r="C246" s="5">
        <f>IF(A246="","",TEXT(A246,"ddd"))</f>
        <v/>
      </c>
      <c r="D246" s="5">
        <f>IF(A246="","",TEXT(A246,"yyyy-mm"))</f>
        <v/>
      </c>
      <c r="E246" s="5">
        <f>IF(A246="","",IF(A246&lt;Eingabe!$B$5,"",INT((A246-Eingabe!$B$5)/(Eingabe!$B$6*7))+1))</f>
        <v/>
      </c>
      <c r="F246" s="8">
        <f>IF(A246="","",SUMPRODUCT((Eingabe!$B$16:$B$165&lt;&gt;"")*(Eingabe!$J$16:$J$165)*--(A246&gt;=Eingabe!$G$16:$G$165)*--(A246&lt;=Eingabe!$H$16:$H$165)*--(WEEKDAY(A246,2)&lt;=5)))</f>
        <v/>
      </c>
      <c r="G246" s="8">
        <f>IF(A246="","",SUM($F$2:F246))</f>
        <v/>
      </c>
      <c r="H246" s="8">
        <f>IF(A246="","",Eingabe!$B$7-G246)</f>
        <v/>
      </c>
      <c r="I246" s="8">
        <f>IF(A246="","",Eingabe!$B$8-SUMIFS($F$2:F246,$D$2:D246,D246))</f>
        <v/>
      </c>
      <c r="J246" s="8">
        <f>IF(A246="","",IF(E246="",1E+99,IFERROR(VLOOKUP(E246,Eingabe!$D$5:$E$44,2,FALSE),Eingabe!$B$9)))</f>
        <v/>
      </c>
      <c r="K246" s="8">
        <f>IF(A246="","",IF(E246="",1E+99,J246-SUMIFS($F$2:F246,$E$2:E246,E246)))</f>
        <v/>
      </c>
      <c r="L246" s="5">
        <f>IF(A246="","",IF(OR(H246&lt;0,I246&lt;0,K246&lt;0),"UNMOEGLICH","OK"))</f>
        <v/>
      </c>
    </row>
    <row r="247">
      <c r="A247" s="7">
        <f>IF(ROW()-1&lt;=Eingabe!$B$4-Eingabe!$B$3+1,Eingabe!$B$3+ROW()-2,"")</f>
        <v/>
      </c>
      <c r="B247" s="5">
        <f>IF(A247="","",TEXT(A247,"yyyy-mm-dd"))</f>
        <v/>
      </c>
      <c r="C247" s="5">
        <f>IF(A247="","",TEXT(A247,"ddd"))</f>
        <v/>
      </c>
      <c r="D247" s="5">
        <f>IF(A247="","",TEXT(A247,"yyyy-mm"))</f>
        <v/>
      </c>
      <c r="E247" s="5">
        <f>IF(A247="","",IF(A247&lt;Eingabe!$B$5,"",INT((A247-Eingabe!$B$5)/(Eingabe!$B$6*7))+1))</f>
        <v/>
      </c>
      <c r="F247" s="8">
        <f>IF(A247="","",SUMPRODUCT((Eingabe!$B$16:$B$165&lt;&gt;"")*(Eingabe!$J$16:$J$165)*--(A247&gt;=Eingabe!$G$16:$G$165)*--(A247&lt;=Eingabe!$H$16:$H$165)*--(WEEKDAY(A247,2)&lt;=5)))</f>
        <v/>
      </c>
      <c r="G247" s="8">
        <f>IF(A247="","",SUM($F$2:F247))</f>
        <v/>
      </c>
      <c r="H247" s="8">
        <f>IF(A247="","",Eingabe!$B$7-G247)</f>
        <v/>
      </c>
      <c r="I247" s="8">
        <f>IF(A247="","",Eingabe!$B$8-SUMIFS($F$2:F247,$D$2:D247,D247))</f>
        <v/>
      </c>
      <c r="J247" s="8">
        <f>IF(A247="","",IF(E247="",1E+99,IFERROR(VLOOKUP(E247,Eingabe!$D$5:$E$44,2,FALSE),Eingabe!$B$9)))</f>
        <v/>
      </c>
      <c r="K247" s="8">
        <f>IF(A247="","",IF(E247="",1E+99,J247-SUMIFS($F$2:F247,$E$2:E247,E247)))</f>
        <v/>
      </c>
      <c r="L247" s="5">
        <f>IF(A247="","",IF(OR(H247&lt;0,I247&lt;0,K247&lt;0),"UNMOEGLICH","OK"))</f>
        <v/>
      </c>
    </row>
    <row r="248">
      <c r="A248" s="7">
        <f>IF(ROW()-1&lt;=Eingabe!$B$4-Eingabe!$B$3+1,Eingabe!$B$3+ROW()-2,"")</f>
        <v/>
      </c>
      <c r="B248" s="5">
        <f>IF(A248="","",TEXT(A248,"yyyy-mm-dd"))</f>
        <v/>
      </c>
      <c r="C248" s="5">
        <f>IF(A248="","",TEXT(A248,"ddd"))</f>
        <v/>
      </c>
      <c r="D248" s="5">
        <f>IF(A248="","",TEXT(A248,"yyyy-mm"))</f>
        <v/>
      </c>
      <c r="E248" s="5">
        <f>IF(A248="","",IF(A248&lt;Eingabe!$B$5,"",INT((A248-Eingabe!$B$5)/(Eingabe!$B$6*7))+1))</f>
        <v/>
      </c>
      <c r="F248" s="8">
        <f>IF(A248="","",SUMPRODUCT((Eingabe!$B$16:$B$165&lt;&gt;"")*(Eingabe!$J$16:$J$165)*--(A248&gt;=Eingabe!$G$16:$G$165)*--(A248&lt;=Eingabe!$H$16:$H$165)*--(WEEKDAY(A248,2)&lt;=5)))</f>
        <v/>
      </c>
      <c r="G248" s="8">
        <f>IF(A248="","",SUM($F$2:F248))</f>
        <v/>
      </c>
      <c r="H248" s="8">
        <f>IF(A248="","",Eingabe!$B$7-G248)</f>
        <v/>
      </c>
      <c r="I248" s="8">
        <f>IF(A248="","",Eingabe!$B$8-SUMIFS($F$2:F248,$D$2:D248,D248))</f>
        <v/>
      </c>
      <c r="J248" s="8">
        <f>IF(A248="","",IF(E248="",1E+99,IFERROR(VLOOKUP(E248,Eingabe!$D$5:$E$44,2,FALSE),Eingabe!$B$9)))</f>
        <v/>
      </c>
      <c r="K248" s="8">
        <f>IF(A248="","",IF(E248="",1E+99,J248-SUMIFS($F$2:F248,$E$2:E248,E248)))</f>
        <v/>
      </c>
      <c r="L248" s="5">
        <f>IF(A248="","",IF(OR(H248&lt;0,I248&lt;0,K248&lt;0),"UNMOEGLICH","OK"))</f>
        <v/>
      </c>
    </row>
    <row r="249">
      <c r="A249" s="7">
        <f>IF(ROW()-1&lt;=Eingabe!$B$4-Eingabe!$B$3+1,Eingabe!$B$3+ROW()-2,"")</f>
        <v/>
      </c>
      <c r="B249" s="5">
        <f>IF(A249="","",TEXT(A249,"yyyy-mm-dd"))</f>
        <v/>
      </c>
      <c r="C249" s="5">
        <f>IF(A249="","",TEXT(A249,"ddd"))</f>
        <v/>
      </c>
      <c r="D249" s="5">
        <f>IF(A249="","",TEXT(A249,"yyyy-mm"))</f>
        <v/>
      </c>
      <c r="E249" s="5">
        <f>IF(A249="","",IF(A249&lt;Eingabe!$B$5,"",INT((A249-Eingabe!$B$5)/(Eingabe!$B$6*7))+1))</f>
        <v/>
      </c>
      <c r="F249" s="8">
        <f>IF(A249="","",SUMPRODUCT((Eingabe!$B$16:$B$165&lt;&gt;"")*(Eingabe!$J$16:$J$165)*--(A249&gt;=Eingabe!$G$16:$G$165)*--(A249&lt;=Eingabe!$H$16:$H$165)*--(WEEKDAY(A249,2)&lt;=5)))</f>
        <v/>
      </c>
      <c r="G249" s="8">
        <f>IF(A249="","",SUM($F$2:F249))</f>
        <v/>
      </c>
      <c r="H249" s="8">
        <f>IF(A249="","",Eingabe!$B$7-G249)</f>
        <v/>
      </c>
      <c r="I249" s="8">
        <f>IF(A249="","",Eingabe!$B$8-SUMIFS($F$2:F249,$D$2:D249,D249))</f>
        <v/>
      </c>
      <c r="J249" s="8">
        <f>IF(A249="","",IF(E249="",1E+99,IFERROR(VLOOKUP(E249,Eingabe!$D$5:$E$44,2,FALSE),Eingabe!$B$9)))</f>
        <v/>
      </c>
      <c r="K249" s="8">
        <f>IF(A249="","",IF(E249="",1E+99,J249-SUMIFS($F$2:F249,$E$2:E249,E249)))</f>
        <v/>
      </c>
      <c r="L249" s="5">
        <f>IF(A249="","",IF(OR(H249&lt;0,I249&lt;0,K249&lt;0),"UNMOEGLICH","OK"))</f>
        <v/>
      </c>
    </row>
    <row r="250">
      <c r="A250" s="7">
        <f>IF(ROW()-1&lt;=Eingabe!$B$4-Eingabe!$B$3+1,Eingabe!$B$3+ROW()-2,"")</f>
        <v/>
      </c>
      <c r="B250" s="5">
        <f>IF(A250="","",TEXT(A250,"yyyy-mm-dd"))</f>
        <v/>
      </c>
      <c r="C250" s="5">
        <f>IF(A250="","",TEXT(A250,"ddd"))</f>
        <v/>
      </c>
      <c r="D250" s="5">
        <f>IF(A250="","",TEXT(A250,"yyyy-mm"))</f>
        <v/>
      </c>
      <c r="E250" s="5">
        <f>IF(A250="","",IF(A250&lt;Eingabe!$B$5,"",INT((A250-Eingabe!$B$5)/(Eingabe!$B$6*7))+1))</f>
        <v/>
      </c>
      <c r="F250" s="8">
        <f>IF(A250="","",SUMPRODUCT((Eingabe!$B$16:$B$165&lt;&gt;"")*(Eingabe!$J$16:$J$165)*--(A250&gt;=Eingabe!$G$16:$G$165)*--(A250&lt;=Eingabe!$H$16:$H$165)*--(WEEKDAY(A250,2)&lt;=5)))</f>
        <v/>
      </c>
      <c r="G250" s="8">
        <f>IF(A250="","",SUM($F$2:F250))</f>
        <v/>
      </c>
      <c r="H250" s="8">
        <f>IF(A250="","",Eingabe!$B$7-G250)</f>
        <v/>
      </c>
      <c r="I250" s="8">
        <f>IF(A250="","",Eingabe!$B$8-SUMIFS($F$2:F250,$D$2:D250,D250))</f>
        <v/>
      </c>
      <c r="J250" s="8">
        <f>IF(A250="","",IF(E250="",1E+99,IFERROR(VLOOKUP(E250,Eingabe!$D$5:$E$44,2,FALSE),Eingabe!$B$9)))</f>
        <v/>
      </c>
      <c r="K250" s="8">
        <f>IF(A250="","",IF(E250="",1E+99,J250-SUMIFS($F$2:F250,$E$2:E250,E250)))</f>
        <v/>
      </c>
      <c r="L250" s="5">
        <f>IF(A250="","",IF(OR(H250&lt;0,I250&lt;0,K250&lt;0),"UNMOEGLICH","OK"))</f>
        <v/>
      </c>
    </row>
    <row r="251">
      <c r="A251" s="7">
        <f>IF(ROW()-1&lt;=Eingabe!$B$4-Eingabe!$B$3+1,Eingabe!$B$3+ROW()-2,"")</f>
        <v/>
      </c>
      <c r="B251" s="5">
        <f>IF(A251="","",TEXT(A251,"yyyy-mm-dd"))</f>
        <v/>
      </c>
      <c r="C251" s="5">
        <f>IF(A251="","",TEXT(A251,"ddd"))</f>
        <v/>
      </c>
      <c r="D251" s="5">
        <f>IF(A251="","",TEXT(A251,"yyyy-mm"))</f>
        <v/>
      </c>
      <c r="E251" s="5">
        <f>IF(A251="","",IF(A251&lt;Eingabe!$B$5,"",INT((A251-Eingabe!$B$5)/(Eingabe!$B$6*7))+1))</f>
        <v/>
      </c>
      <c r="F251" s="8">
        <f>IF(A251="","",SUMPRODUCT((Eingabe!$B$16:$B$165&lt;&gt;"")*(Eingabe!$J$16:$J$165)*--(A251&gt;=Eingabe!$G$16:$G$165)*--(A251&lt;=Eingabe!$H$16:$H$165)*--(WEEKDAY(A251,2)&lt;=5)))</f>
        <v/>
      </c>
      <c r="G251" s="8">
        <f>IF(A251="","",SUM($F$2:F251))</f>
        <v/>
      </c>
      <c r="H251" s="8">
        <f>IF(A251="","",Eingabe!$B$7-G251)</f>
        <v/>
      </c>
      <c r="I251" s="8">
        <f>IF(A251="","",Eingabe!$B$8-SUMIFS($F$2:F251,$D$2:D251,D251))</f>
        <v/>
      </c>
      <c r="J251" s="8">
        <f>IF(A251="","",IF(E251="",1E+99,IFERROR(VLOOKUP(E251,Eingabe!$D$5:$E$44,2,FALSE),Eingabe!$B$9)))</f>
        <v/>
      </c>
      <c r="K251" s="8">
        <f>IF(A251="","",IF(E251="",1E+99,J251-SUMIFS($F$2:F251,$E$2:E251,E251)))</f>
        <v/>
      </c>
      <c r="L251" s="5">
        <f>IF(A251="","",IF(OR(H251&lt;0,I251&lt;0,K251&lt;0),"UNMOEGLICH","OK"))</f>
        <v/>
      </c>
    </row>
    <row r="252">
      <c r="A252" s="7">
        <f>IF(ROW()-1&lt;=Eingabe!$B$4-Eingabe!$B$3+1,Eingabe!$B$3+ROW()-2,"")</f>
        <v/>
      </c>
      <c r="B252" s="5">
        <f>IF(A252="","",TEXT(A252,"yyyy-mm-dd"))</f>
        <v/>
      </c>
      <c r="C252" s="5">
        <f>IF(A252="","",TEXT(A252,"ddd"))</f>
        <v/>
      </c>
      <c r="D252" s="5">
        <f>IF(A252="","",TEXT(A252,"yyyy-mm"))</f>
        <v/>
      </c>
      <c r="E252" s="5">
        <f>IF(A252="","",IF(A252&lt;Eingabe!$B$5,"",INT((A252-Eingabe!$B$5)/(Eingabe!$B$6*7))+1))</f>
        <v/>
      </c>
      <c r="F252" s="8">
        <f>IF(A252="","",SUMPRODUCT((Eingabe!$B$16:$B$165&lt;&gt;"")*(Eingabe!$J$16:$J$165)*--(A252&gt;=Eingabe!$G$16:$G$165)*--(A252&lt;=Eingabe!$H$16:$H$165)*--(WEEKDAY(A252,2)&lt;=5)))</f>
        <v/>
      </c>
      <c r="G252" s="8">
        <f>IF(A252="","",SUM($F$2:F252))</f>
        <v/>
      </c>
      <c r="H252" s="8">
        <f>IF(A252="","",Eingabe!$B$7-G252)</f>
        <v/>
      </c>
      <c r="I252" s="8">
        <f>IF(A252="","",Eingabe!$B$8-SUMIFS($F$2:F252,$D$2:D252,D252))</f>
        <v/>
      </c>
      <c r="J252" s="8">
        <f>IF(A252="","",IF(E252="",1E+99,IFERROR(VLOOKUP(E252,Eingabe!$D$5:$E$44,2,FALSE),Eingabe!$B$9)))</f>
        <v/>
      </c>
      <c r="K252" s="8">
        <f>IF(A252="","",IF(E252="",1E+99,J252-SUMIFS($F$2:F252,$E$2:E252,E252)))</f>
        <v/>
      </c>
      <c r="L252" s="5">
        <f>IF(A252="","",IF(OR(H252&lt;0,I252&lt;0,K252&lt;0),"UNMOEGLICH","OK"))</f>
        <v/>
      </c>
    </row>
    <row r="253">
      <c r="A253" s="7">
        <f>IF(ROW()-1&lt;=Eingabe!$B$4-Eingabe!$B$3+1,Eingabe!$B$3+ROW()-2,"")</f>
        <v/>
      </c>
      <c r="B253" s="5">
        <f>IF(A253="","",TEXT(A253,"yyyy-mm-dd"))</f>
        <v/>
      </c>
      <c r="C253" s="5">
        <f>IF(A253="","",TEXT(A253,"ddd"))</f>
        <v/>
      </c>
      <c r="D253" s="5">
        <f>IF(A253="","",TEXT(A253,"yyyy-mm"))</f>
        <v/>
      </c>
      <c r="E253" s="5">
        <f>IF(A253="","",IF(A253&lt;Eingabe!$B$5,"",INT((A253-Eingabe!$B$5)/(Eingabe!$B$6*7))+1))</f>
        <v/>
      </c>
      <c r="F253" s="8">
        <f>IF(A253="","",SUMPRODUCT((Eingabe!$B$16:$B$165&lt;&gt;"")*(Eingabe!$J$16:$J$165)*--(A253&gt;=Eingabe!$G$16:$G$165)*--(A253&lt;=Eingabe!$H$16:$H$165)*--(WEEKDAY(A253,2)&lt;=5)))</f>
        <v/>
      </c>
      <c r="G253" s="8">
        <f>IF(A253="","",SUM($F$2:F253))</f>
        <v/>
      </c>
      <c r="H253" s="8">
        <f>IF(A253="","",Eingabe!$B$7-G253)</f>
        <v/>
      </c>
      <c r="I253" s="8">
        <f>IF(A253="","",Eingabe!$B$8-SUMIFS($F$2:F253,$D$2:D253,D253))</f>
        <v/>
      </c>
      <c r="J253" s="8">
        <f>IF(A253="","",IF(E253="",1E+99,IFERROR(VLOOKUP(E253,Eingabe!$D$5:$E$44,2,FALSE),Eingabe!$B$9)))</f>
        <v/>
      </c>
      <c r="K253" s="8">
        <f>IF(A253="","",IF(E253="",1E+99,J253-SUMIFS($F$2:F253,$E$2:E253,E253)))</f>
        <v/>
      </c>
      <c r="L253" s="5">
        <f>IF(A253="","",IF(OR(H253&lt;0,I253&lt;0,K253&lt;0),"UNMOEGLICH","OK"))</f>
        <v/>
      </c>
    </row>
    <row r="254">
      <c r="A254" s="7">
        <f>IF(ROW()-1&lt;=Eingabe!$B$4-Eingabe!$B$3+1,Eingabe!$B$3+ROW()-2,"")</f>
        <v/>
      </c>
      <c r="B254" s="5">
        <f>IF(A254="","",TEXT(A254,"yyyy-mm-dd"))</f>
        <v/>
      </c>
      <c r="C254" s="5">
        <f>IF(A254="","",TEXT(A254,"ddd"))</f>
        <v/>
      </c>
      <c r="D254" s="5">
        <f>IF(A254="","",TEXT(A254,"yyyy-mm"))</f>
        <v/>
      </c>
      <c r="E254" s="5">
        <f>IF(A254="","",IF(A254&lt;Eingabe!$B$5,"",INT((A254-Eingabe!$B$5)/(Eingabe!$B$6*7))+1))</f>
        <v/>
      </c>
      <c r="F254" s="8">
        <f>IF(A254="","",SUMPRODUCT((Eingabe!$B$16:$B$165&lt;&gt;"")*(Eingabe!$J$16:$J$165)*--(A254&gt;=Eingabe!$G$16:$G$165)*--(A254&lt;=Eingabe!$H$16:$H$165)*--(WEEKDAY(A254,2)&lt;=5)))</f>
        <v/>
      </c>
      <c r="G254" s="8">
        <f>IF(A254="","",SUM($F$2:F254))</f>
        <v/>
      </c>
      <c r="H254" s="8">
        <f>IF(A254="","",Eingabe!$B$7-G254)</f>
        <v/>
      </c>
      <c r="I254" s="8">
        <f>IF(A254="","",Eingabe!$B$8-SUMIFS($F$2:F254,$D$2:D254,D254))</f>
        <v/>
      </c>
      <c r="J254" s="8">
        <f>IF(A254="","",IF(E254="",1E+99,IFERROR(VLOOKUP(E254,Eingabe!$D$5:$E$44,2,FALSE),Eingabe!$B$9)))</f>
        <v/>
      </c>
      <c r="K254" s="8">
        <f>IF(A254="","",IF(E254="",1E+99,J254-SUMIFS($F$2:F254,$E$2:E254,E254)))</f>
        <v/>
      </c>
      <c r="L254" s="5">
        <f>IF(A254="","",IF(OR(H254&lt;0,I254&lt;0,K254&lt;0),"UNMOEGLICH","OK"))</f>
        <v/>
      </c>
    </row>
    <row r="255">
      <c r="A255" s="7">
        <f>IF(ROW()-1&lt;=Eingabe!$B$4-Eingabe!$B$3+1,Eingabe!$B$3+ROW()-2,"")</f>
        <v/>
      </c>
      <c r="B255" s="5">
        <f>IF(A255="","",TEXT(A255,"yyyy-mm-dd"))</f>
        <v/>
      </c>
      <c r="C255" s="5">
        <f>IF(A255="","",TEXT(A255,"ddd"))</f>
        <v/>
      </c>
      <c r="D255" s="5">
        <f>IF(A255="","",TEXT(A255,"yyyy-mm"))</f>
        <v/>
      </c>
      <c r="E255" s="5">
        <f>IF(A255="","",IF(A255&lt;Eingabe!$B$5,"",INT((A255-Eingabe!$B$5)/(Eingabe!$B$6*7))+1))</f>
        <v/>
      </c>
      <c r="F255" s="8">
        <f>IF(A255="","",SUMPRODUCT((Eingabe!$B$16:$B$165&lt;&gt;"")*(Eingabe!$J$16:$J$165)*--(A255&gt;=Eingabe!$G$16:$G$165)*--(A255&lt;=Eingabe!$H$16:$H$165)*--(WEEKDAY(A255,2)&lt;=5)))</f>
        <v/>
      </c>
      <c r="G255" s="8">
        <f>IF(A255="","",SUM($F$2:F255))</f>
        <v/>
      </c>
      <c r="H255" s="8">
        <f>IF(A255="","",Eingabe!$B$7-G255)</f>
        <v/>
      </c>
      <c r="I255" s="8">
        <f>IF(A255="","",Eingabe!$B$8-SUMIFS($F$2:F255,$D$2:D255,D255))</f>
        <v/>
      </c>
      <c r="J255" s="8">
        <f>IF(A255="","",IF(E255="",1E+99,IFERROR(VLOOKUP(E255,Eingabe!$D$5:$E$44,2,FALSE),Eingabe!$B$9)))</f>
        <v/>
      </c>
      <c r="K255" s="8">
        <f>IF(A255="","",IF(E255="",1E+99,J255-SUMIFS($F$2:F255,$E$2:E255,E255)))</f>
        <v/>
      </c>
      <c r="L255" s="5">
        <f>IF(A255="","",IF(OR(H255&lt;0,I255&lt;0,K255&lt;0),"UNMOEGLICH","OK"))</f>
        <v/>
      </c>
    </row>
    <row r="256">
      <c r="A256" s="7">
        <f>IF(ROW()-1&lt;=Eingabe!$B$4-Eingabe!$B$3+1,Eingabe!$B$3+ROW()-2,"")</f>
        <v/>
      </c>
      <c r="B256" s="5">
        <f>IF(A256="","",TEXT(A256,"yyyy-mm-dd"))</f>
        <v/>
      </c>
      <c r="C256" s="5">
        <f>IF(A256="","",TEXT(A256,"ddd"))</f>
        <v/>
      </c>
      <c r="D256" s="5">
        <f>IF(A256="","",TEXT(A256,"yyyy-mm"))</f>
        <v/>
      </c>
      <c r="E256" s="5">
        <f>IF(A256="","",IF(A256&lt;Eingabe!$B$5,"",INT((A256-Eingabe!$B$5)/(Eingabe!$B$6*7))+1))</f>
        <v/>
      </c>
      <c r="F256" s="8">
        <f>IF(A256="","",SUMPRODUCT((Eingabe!$B$16:$B$165&lt;&gt;"")*(Eingabe!$J$16:$J$165)*--(A256&gt;=Eingabe!$G$16:$G$165)*--(A256&lt;=Eingabe!$H$16:$H$165)*--(WEEKDAY(A256,2)&lt;=5)))</f>
        <v/>
      </c>
      <c r="G256" s="8">
        <f>IF(A256="","",SUM($F$2:F256))</f>
        <v/>
      </c>
      <c r="H256" s="8">
        <f>IF(A256="","",Eingabe!$B$7-G256)</f>
        <v/>
      </c>
      <c r="I256" s="8">
        <f>IF(A256="","",Eingabe!$B$8-SUMIFS($F$2:F256,$D$2:D256,D256))</f>
        <v/>
      </c>
      <c r="J256" s="8">
        <f>IF(A256="","",IF(E256="",1E+99,IFERROR(VLOOKUP(E256,Eingabe!$D$5:$E$44,2,FALSE),Eingabe!$B$9)))</f>
        <v/>
      </c>
      <c r="K256" s="8">
        <f>IF(A256="","",IF(E256="",1E+99,J256-SUMIFS($F$2:F256,$E$2:E256,E256)))</f>
        <v/>
      </c>
      <c r="L256" s="5">
        <f>IF(A256="","",IF(OR(H256&lt;0,I256&lt;0,K256&lt;0),"UNMOEGLICH","OK"))</f>
        <v/>
      </c>
    </row>
    <row r="257">
      <c r="A257" s="7">
        <f>IF(ROW()-1&lt;=Eingabe!$B$4-Eingabe!$B$3+1,Eingabe!$B$3+ROW()-2,"")</f>
        <v/>
      </c>
      <c r="B257" s="5">
        <f>IF(A257="","",TEXT(A257,"yyyy-mm-dd"))</f>
        <v/>
      </c>
      <c r="C257" s="5">
        <f>IF(A257="","",TEXT(A257,"ddd"))</f>
        <v/>
      </c>
      <c r="D257" s="5">
        <f>IF(A257="","",TEXT(A257,"yyyy-mm"))</f>
        <v/>
      </c>
      <c r="E257" s="5">
        <f>IF(A257="","",IF(A257&lt;Eingabe!$B$5,"",INT((A257-Eingabe!$B$5)/(Eingabe!$B$6*7))+1))</f>
        <v/>
      </c>
      <c r="F257" s="8">
        <f>IF(A257="","",SUMPRODUCT((Eingabe!$B$16:$B$165&lt;&gt;"")*(Eingabe!$J$16:$J$165)*--(A257&gt;=Eingabe!$G$16:$G$165)*--(A257&lt;=Eingabe!$H$16:$H$165)*--(WEEKDAY(A257,2)&lt;=5)))</f>
        <v/>
      </c>
      <c r="G257" s="8">
        <f>IF(A257="","",SUM($F$2:F257))</f>
        <v/>
      </c>
      <c r="H257" s="8">
        <f>IF(A257="","",Eingabe!$B$7-G257)</f>
        <v/>
      </c>
      <c r="I257" s="8">
        <f>IF(A257="","",Eingabe!$B$8-SUMIFS($F$2:F257,$D$2:D257,D257))</f>
        <v/>
      </c>
      <c r="J257" s="8">
        <f>IF(A257="","",IF(E257="",1E+99,IFERROR(VLOOKUP(E257,Eingabe!$D$5:$E$44,2,FALSE),Eingabe!$B$9)))</f>
        <v/>
      </c>
      <c r="K257" s="8">
        <f>IF(A257="","",IF(E257="",1E+99,J257-SUMIFS($F$2:F257,$E$2:E257,E257)))</f>
        <v/>
      </c>
      <c r="L257" s="5">
        <f>IF(A257="","",IF(OR(H257&lt;0,I257&lt;0,K257&lt;0),"UNMOEGLICH","OK"))</f>
        <v/>
      </c>
    </row>
    <row r="258">
      <c r="A258" s="7">
        <f>IF(ROW()-1&lt;=Eingabe!$B$4-Eingabe!$B$3+1,Eingabe!$B$3+ROW()-2,"")</f>
        <v/>
      </c>
      <c r="B258" s="5">
        <f>IF(A258="","",TEXT(A258,"yyyy-mm-dd"))</f>
        <v/>
      </c>
      <c r="C258" s="5">
        <f>IF(A258="","",TEXT(A258,"ddd"))</f>
        <v/>
      </c>
      <c r="D258" s="5">
        <f>IF(A258="","",TEXT(A258,"yyyy-mm"))</f>
        <v/>
      </c>
      <c r="E258" s="5">
        <f>IF(A258="","",IF(A258&lt;Eingabe!$B$5,"",INT((A258-Eingabe!$B$5)/(Eingabe!$B$6*7))+1))</f>
        <v/>
      </c>
      <c r="F258" s="8">
        <f>IF(A258="","",SUMPRODUCT((Eingabe!$B$16:$B$165&lt;&gt;"")*(Eingabe!$J$16:$J$165)*--(A258&gt;=Eingabe!$G$16:$G$165)*--(A258&lt;=Eingabe!$H$16:$H$165)*--(WEEKDAY(A258,2)&lt;=5)))</f>
        <v/>
      </c>
      <c r="G258" s="8">
        <f>IF(A258="","",SUM($F$2:F258))</f>
        <v/>
      </c>
      <c r="H258" s="8">
        <f>IF(A258="","",Eingabe!$B$7-G258)</f>
        <v/>
      </c>
      <c r="I258" s="8">
        <f>IF(A258="","",Eingabe!$B$8-SUMIFS($F$2:F258,$D$2:D258,D258))</f>
        <v/>
      </c>
      <c r="J258" s="8">
        <f>IF(A258="","",IF(E258="",1E+99,IFERROR(VLOOKUP(E258,Eingabe!$D$5:$E$44,2,FALSE),Eingabe!$B$9)))</f>
        <v/>
      </c>
      <c r="K258" s="8">
        <f>IF(A258="","",IF(E258="",1E+99,J258-SUMIFS($F$2:F258,$E$2:E258,E258)))</f>
        <v/>
      </c>
      <c r="L258" s="5">
        <f>IF(A258="","",IF(OR(H258&lt;0,I258&lt;0,K258&lt;0),"UNMOEGLICH","OK"))</f>
        <v/>
      </c>
    </row>
    <row r="259">
      <c r="A259" s="7">
        <f>IF(ROW()-1&lt;=Eingabe!$B$4-Eingabe!$B$3+1,Eingabe!$B$3+ROW()-2,"")</f>
        <v/>
      </c>
      <c r="B259" s="5">
        <f>IF(A259="","",TEXT(A259,"yyyy-mm-dd"))</f>
        <v/>
      </c>
      <c r="C259" s="5">
        <f>IF(A259="","",TEXT(A259,"ddd"))</f>
        <v/>
      </c>
      <c r="D259" s="5">
        <f>IF(A259="","",TEXT(A259,"yyyy-mm"))</f>
        <v/>
      </c>
      <c r="E259" s="5">
        <f>IF(A259="","",IF(A259&lt;Eingabe!$B$5,"",INT((A259-Eingabe!$B$5)/(Eingabe!$B$6*7))+1))</f>
        <v/>
      </c>
      <c r="F259" s="8">
        <f>IF(A259="","",SUMPRODUCT((Eingabe!$B$16:$B$165&lt;&gt;"")*(Eingabe!$J$16:$J$165)*--(A259&gt;=Eingabe!$G$16:$G$165)*--(A259&lt;=Eingabe!$H$16:$H$165)*--(WEEKDAY(A259,2)&lt;=5)))</f>
        <v/>
      </c>
      <c r="G259" s="8">
        <f>IF(A259="","",SUM($F$2:F259))</f>
        <v/>
      </c>
      <c r="H259" s="8">
        <f>IF(A259="","",Eingabe!$B$7-G259)</f>
        <v/>
      </c>
      <c r="I259" s="8">
        <f>IF(A259="","",Eingabe!$B$8-SUMIFS($F$2:F259,$D$2:D259,D259))</f>
        <v/>
      </c>
      <c r="J259" s="8">
        <f>IF(A259="","",IF(E259="",1E+99,IFERROR(VLOOKUP(E259,Eingabe!$D$5:$E$44,2,FALSE),Eingabe!$B$9)))</f>
        <v/>
      </c>
      <c r="K259" s="8">
        <f>IF(A259="","",IF(E259="",1E+99,J259-SUMIFS($F$2:F259,$E$2:E259,E259)))</f>
        <v/>
      </c>
      <c r="L259" s="5">
        <f>IF(A259="","",IF(OR(H259&lt;0,I259&lt;0,K259&lt;0),"UNMOEGLICH","OK"))</f>
        <v/>
      </c>
    </row>
    <row r="260">
      <c r="A260" s="7">
        <f>IF(ROW()-1&lt;=Eingabe!$B$4-Eingabe!$B$3+1,Eingabe!$B$3+ROW()-2,"")</f>
        <v/>
      </c>
      <c r="B260" s="5">
        <f>IF(A260="","",TEXT(A260,"yyyy-mm-dd"))</f>
        <v/>
      </c>
      <c r="C260" s="5">
        <f>IF(A260="","",TEXT(A260,"ddd"))</f>
        <v/>
      </c>
      <c r="D260" s="5">
        <f>IF(A260="","",TEXT(A260,"yyyy-mm"))</f>
        <v/>
      </c>
      <c r="E260" s="5">
        <f>IF(A260="","",IF(A260&lt;Eingabe!$B$5,"",INT((A260-Eingabe!$B$5)/(Eingabe!$B$6*7))+1))</f>
        <v/>
      </c>
      <c r="F260" s="8">
        <f>IF(A260="","",SUMPRODUCT((Eingabe!$B$16:$B$165&lt;&gt;"")*(Eingabe!$J$16:$J$165)*--(A260&gt;=Eingabe!$G$16:$G$165)*--(A260&lt;=Eingabe!$H$16:$H$165)*--(WEEKDAY(A260,2)&lt;=5)))</f>
        <v/>
      </c>
      <c r="G260" s="8">
        <f>IF(A260="","",SUM($F$2:F260))</f>
        <v/>
      </c>
      <c r="H260" s="8">
        <f>IF(A260="","",Eingabe!$B$7-G260)</f>
        <v/>
      </c>
      <c r="I260" s="8">
        <f>IF(A260="","",Eingabe!$B$8-SUMIFS($F$2:F260,$D$2:D260,D260))</f>
        <v/>
      </c>
      <c r="J260" s="8">
        <f>IF(A260="","",IF(E260="",1E+99,IFERROR(VLOOKUP(E260,Eingabe!$D$5:$E$44,2,FALSE),Eingabe!$B$9)))</f>
        <v/>
      </c>
      <c r="K260" s="8">
        <f>IF(A260="","",IF(E260="",1E+99,J260-SUMIFS($F$2:F260,$E$2:E260,E260)))</f>
        <v/>
      </c>
      <c r="L260" s="5">
        <f>IF(A260="","",IF(OR(H260&lt;0,I260&lt;0,K260&lt;0),"UNMOEGLICH","OK"))</f>
        <v/>
      </c>
    </row>
    <row r="261">
      <c r="A261" s="7">
        <f>IF(ROW()-1&lt;=Eingabe!$B$4-Eingabe!$B$3+1,Eingabe!$B$3+ROW()-2,"")</f>
        <v/>
      </c>
      <c r="B261" s="5">
        <f>IF(A261="","",TEXT(A261,"yyyy-mm-dd"))</f>
        <v/>
      </c>
      <c r="C261" s="5">
        <f>IF(A261="","",TEXT(A261,"ddd"))</f>
        <v/>
      </c>
      <c r="D261" s="5">
        <f>IF(A261="","",TEXT(A261,"yyyy-mm"))</f>
        <v/>
      </c>
      <c r="E261" s="5">
        <f>IF(A261="","",IF(A261&lt;Eingabe!$B$5,"",INT((A261-Eingabe!$B$5)/(Eingabe!$B$6*7))+1))</f>
        <v/>
      </c>
      <c r="F261" s="8">
        <f>IF(A261="","",SUMPRODUCT((Eingabe!$B$16:$B$165&lt;&gt;"")*(Eingabe!$J$16:$J$165)*--(A261&gt;=Eingabe!$G$16:$G$165)*--(A261&lt;=Eingabe!$H$16:$H$165)*--(WEEKDAY(A261,2)&lt;=5)))</f>
        <v/>
      </c>
      <c r="G261" s="8">
        <f>IF(A261="","",SUM($F$2:F261))</f>
        <v/>
      </c>
      <c r="H261" s="8">
        <f>IF(A261="","",Eingabe!$B$7-G261)</f>
        <v/>
      </c>
      <c r="I261" s="8">
        <f>IF(A261="","",Eingabe!$B$8-SUMIFS($F$2:F261,$D$2:D261,D261))</f>
        <v/>
      </c>
      <c r="J261" s="8">
        <f>IF(A261="","",IF(E261="",1E+99,IFERROR(VLOOKUP(E261,Eingabe!$D$5:$E$44,2,FALSE),Eingabe!$B$9)))</f>
        <v/>
      </c>
      <c r="K261" s="8">
        <f>IF(A261="","",IF(E261="",1E+99,J261-SUMIFS($F$2:F261,$E$2:E261,E261)))</f>
        <v/>
      </c>
      <c r="L261" s="5">
        <f>IF(A261="","",IF(OR(H261&lt;0,I261&lt;0,K261&lt;0),"UNMOEGLICH","OK"))</f>
        <v/>
      </c>
    </row>
    <row r="262">
      <c r="A262" s="7">
        <f>IF(ROW()-1&lt;=Eingabe!$B$4-Eingabe!$B$3+1,Eingabe!$B$3+ROW()-2,"")</f>
        <v/>
      </c>
      <c r="B262" s="5">
        <f>IF(A262="","",TEXT(A262,"yyyy-mm-dd"))</f>
        <v/>
      </c>
      <c r="C262" s="5">
        <f>IF(A262="","",TEXT(A262,"ddd"))</f>
        <v/>
      </c>
      <c r="D262" s="5">
        <f>IF(A262="","",TEXT(A262,"yyyy-mm"))</f>
        <v/>
      </c>
      <c r="E262" s="5">
        <f>IF(A262="","",IF(A262&lt;Eingabe!$B$5,"",INT((A262-Eingabe!$B$5)/(Eingabe!$B$6*7))+1))</f>
        <v/>
      </c>
      <c r="F262" s="8">
        <f>IF(A262="","",SUMPRODUCT((Eingabe!$B$16:$B$165&lt;&gt;"")*(Eingabe!$J$16:$J$165)*--(A262&gt;=Eingabe!$G$16:$G$165)*--(A262&lt;=Eingabe!$H$16:$H$165)*--(WEEKDAY(A262,2)&lt;=5)))</f>
        <v/>
      </c>
      <c r="G262" s="8">
        <f>IF(A262="","",SUM($F$2:F262))</f>
        <v/>
      </c>
      <c r="H262" s="8">
        <f>IF(A262="","",Eingabe!$B$7-G262)</f>
        <v/>
      </c>
      <c r="I262" s="8">
        <f>IF(A262="","",Eingabe!$B$8-SUMIFS($F$2:F262,$D$2:D262,D262))</f>
        <v/>
      </c>
      <c r="J262" s="8">
        <f>IF(A262="","",IF(E262="",1E+99,IFERROR(VLOOKUP(E262,Eingabe!$D$5:$E$44,2,FALSE),Eingabe!$B$9)))</f>
        <v/>
      </c>
      <c r="K262" s="8">
        <f>IF(A262="","",IF(E262="",1E+99,J262-SUMIFS($F$2:F262,$E$2:E262,E262)))</f>
        <v/>
      </c>
      <c r="L262" s="5">
        <f>IF(A262="","",IF(OR(H262&lt;0,I262&lt;0,K262&lt;0),"UNMOEGLICH","OK"))</f>
        <v/>
      </c>
    </row>
    <row r="263">
      <c r="A263" s="7">
        <f>IF(ROW()-1&lt;=Eingabe!$B$4-Eingabe!$B$3+1,Eingabe!$B$3+ROW()-2,"")</f>
        <v/>
      </c>
      <c r="B263" s="5">
        <f>IF(A263="","",TEXT(A263,"yyyy-mm-dd"))</f>
        <v/>
      </c>
      <c r="C263" s="5">
        <f>IF(A263="","",TEXT(A263,"ddd"))</f>
        <v/>
      </c>
      <c r="D263" s="5">
        <f>IF(A263="","",TEXT(A263,"yyyy-mm"))</f>
        <v/>
      </c>
      <c r="E263" s="5">
        <f>IF(A263="","",IF(A263&lt;Eingabe!$B$5,"",INT((A263-Eingabe!$B$5)/(Eingabe!$B$6*7))+1))</f>
        <v/>
      </c>
      <c r="F263" s="8">
        <f>IF(A263="","",SUMPRODUCT((Eingabe!$B$16:$B$165&lt;&gt;"")*(Eingabe!$J$16:$J$165)*--(A263&gt;=Eingabe!$G$16:$G$165)*--(A263&lt;=Eingabe!$H$16:$H$165)*--(WEEKDAY(A263,2)&lt;=5)))</f>
        <v/>
      </c>
      <c r="G263" s="8">
        <f>IF(A263="","",SUM($F$2:F263))</f>
        <v/>
      </c>
      <c r="H263" s="8">
        <f>IF(A263="","",Eingabe!$B$7-G263)</f>
        <v/>
      </c>
      <c r="I263" s="8">
        <f>IF(A263="","",Eingabe!$B$8-SUMIFS($F$2:F263,$D$2:D263,D263))</f>
        <v/>
      </c>
      <c r="J263" s="8">
        <f>IF(A263="","",IF(E263="",1E+99,IFERROR(VLOOKUP(E263,Eingabe!$D$5:$E$44,2,FALSE),Eingabe!$B$9)))</f>
        <v/>
      </c>
      <c r="K263" s="8">
        <f>IF(A263="","",IF(E263="",1E+99,J263-SUMIFS($F$2:F263,$E$2:E263,E263)))</f>
        <v/>
      </c>
      <c r="L263" s="5">
        <f>IF(A263="","",IF(OR(H263&lt;0,I263&lt;0,K263&lt;0),"UNMOEGLICH","OK"))</f>
        <v/>
      </c>
    </row>
    <row r="264">
      <c r="A264" s="7">
        <f>IF(ROW()-1&lt;=Eingabe!$B$4-Eingabe!$B$3+1,Eingabe!$B$3+ROW()-2,"")</f>
        <v/>
      </c>
      <c r="B264" s="5">
        <f>IF(A264="","",TEXT(A264,"yyyy-mm-dd"))</f>
        <v/>
      </c>
      <c r="C264" s="5">
        <f>IF(A264="","",TEXT(A264,"ddd"))</f>
        <v/>
      </c>
      <c r="D264" s="5">
        <f>IF(A264="","",TEXT(A264,"yyyy-mm"))</f>
        <v/>
      </c>
      <c r="E264" s="5">
        <f>IF(A264="","",IF(A264&lt;Eingabe!$B$5,"",INT((A264-Eingabe!$B$5)/(Eingabe!$B$6*7))+1))</f>
        <v/>
      </c>
      <c r="F264" s="8">
        <f>IF(A264="","",SUMPRODUCT((Eingabe!$B$16:$B$165&lt;&gt;"")*(Eingabe!$J$16:$J$165)*--(A264&gt;=Eingabe!$G$16:$G$165)*--(A264&lt;=Eingabe!$H$16:$H$165)*--(WEEKDAY(A264,2)&lt;=5)))</f>
        <v/>
      </c>
      <c r="G264" s="8">
        <f>IF(A264="","",SUM($F$2:F264))</f>
        <v/>
      </c>
      <c r="H264" s="8">
        <f>IF(A264="","",Eingabe!$B$7-G264)</f>
        <v/>
      </c>
      <c r="I264" s="8">
        <f>IF(A264="","",Eingabe!$B$8-SUMIFS($F$2:F264,$D$2:D264,D264))</f>
        <v/>
      </c>
      <c r="J264" s="8">
        <f>IF(A264="","",IF(E264="",1E+99,IFERROR(VLOOKUP(E264,Eingabe!$D$5:$E$44,2,FALSE),Eingabe!$B$9)))</f>
        <v/>
      </c>
      <c r="K264" s="8">
        <f>IF(A264="","",IF(E264="",1E+99,J264-SUMIFS($F$2:F264,$E$2:E264,E264)))</f>
        <v/>
      </c>
      <c r="L264" s="5">
        <f>IF(A264="","",IF(OR(H264&lt;0,I264&lt;0,K264&lt;0),"UNMOEGLICH","OK"))</f>
        <v/>
      </c>
    </row>
    <row r="265">
      <c r="A265" s="7">
        <f>IF(ROW()-1&lt;=Eingabe!$B$4-Eingabe!$B$3+1,Eingabe!$B$3+ROW()-2,"")</f>
        <v/>
      </c>
      <c r="B265" s="5">
        <f>IF(A265="","",TEXT(A265,"yyyy-mm-dd"))</f>
        <v/>
      </c>
      <c r="C265" s="5">
        <f>IF(A265="","",TEXT(A265,"ddd"))</f>
        <v/>
      </c>
      <c r="D265" s="5">
        <f>IF(A265="","",TEXT(A265,"yyyy-mm"))</f>
        <v/>
      </c>
      <c r="E265" s="5">
        <f>IF(A265="","",IF(A265&lt;Eingabe!$B$5,"",INT((A265-Eingabe!$B$5)/(Eingabe!$B$6*7))+1))</f>
        <v/>
      </c>
      <c r="F265" s="8">
        <f>IF(A265="","",SUMPRODUCT((Eingabe!$B$16:$B$165&lt;&gt;"")*(Eingabe!$J$16:$J$165)*--(A265&gt;=Eingabe!$G$16:$G$165)*--(A265&lt;=Eingabe!$H$16:$H$165)*--(WEEKDAY(A265,2)&lt;=5)))</f>
        <v/>
      </c>
      <c r="G265" s="8">
        <f>IF(A265="","",SUM($F$2:F265))</f>
        <v/>
      </c>
      <c r="H265" s="8">
        <f>IF(A265="","",Eingabe!$B$7-G265)</f>
        <v/>
      </c>
      <c r="I265" s="8">
        <f>IF(A265="","",Eingabe!$B$8-SUMIFS($F$2:F265,$D$2:D265,D265))</f>
        <v/>
      </c>
      <c r="J265" s="8">
        <f>IF(A265="","",IF(E265="",1E+99,IFERROR(VLOOKUP(E265,Eingabe!$D$5:$E$44,2,FALSE),Eingabe!$B$9)))</f>
        <v/>
      </c>
      <c r="K265" s="8">
        <f>IF(A265="","",IF(E265="",1E+99,J265-SUMIFS($F$2:F265,$E$2:E265,E265)))</f>
        <v/>
      </c>
      <c r="L265" s="5">
        <f>IF(A265="","",IF(OR(H265&lt;0,I265&lt;0,K265&lt;0),"UNMOEGLICH","OK"))</f>
        <v/>
      </c>
    </row>
    <row r="266">
      <c r="A266" s="7">
        <f>IF(ROW()-1&lt;=Eingabe!$B$4-Eingabe!$B$3+1,Eingabe!$B$3+ROW()-2,"")</f>
        <v/>
      </c>
      <c r="B266" s="5">
        <f>IF(A266="","",TEXT(A266,"yyyy-mm-dd"))</f>
        <v/>
      </c>
      <c r="C266" s="5">
        <f>IF(A266="","",TEXT(A266,"ddd"))</f>
        <v/>
      </c>
      <c r="D266" s="5">
        <f>IF(A266="","",TEXT(A266,"yyyy-mm"))</f>
        <v/>
      </c>
      <c r="E266" s="5">
        <f>IF(A266="","",IF(A266&lt;Eingabe!$B$5,"",INT((A266-Eingabe!$B$5)/(Eingabe!$B$6*7))+1))</f>
        <v/>
      </c>
      <c r="F266" s="8">
        <f>IF(A266="","",SUMPRODUCT((Eingabe!$B$16:$B$165&lt;&gt;"")*(Eingabe!$J$16:$J$165)*--(A266&gt;=Eingabe!$G$16:$G$165)*--(A266&lt;=Eingabe!$H$16:$H$165)*--(WEEKDAY(A266,2)&lt;=5)))</f>
        <v/>
      </c>
      <c r="G266" s="8">
        <f>IF(A266="","",SUM($F$2:F266))</f>
        <v/>
      </c>
      <c r="H266" s="8">
        <f>IF(A266="","",Eingabe!$B$7-G266)</f>
        <v/>
      </c>
      <c r="I266" s="8">
        <f>IF(A266="","",Eingabe!$B$8-SUMIFS($F$2:F266,$D$2:D266,D266))</f>
        <v/>
      </c>
      <c r="J266" s="8">
        <f>IF(A266="","",IF(E266="",1E+99,IFERROR(VLOOKUP(E266,Eingabe!$D$5:$E$44,2,FALSE),Eingabe!$B$9)))</f>
        <v/>
      </c>
      <c r="K266" s="8">
        <f>IF(A266="","",IF(E266="",1E+99,J266-SUMIFS($F$2:F266,$E$2:E266,E266)))</f>
        <v/>
      </c>
      <c r="L266" s="5">
        <f>IF(A266="","",IF(OR(H266&lt;0,I266&lt;0,K266&lt;0),"UNMOEGLICH","OK"))</f>
        <v/>
      </c>
    </row>
    <row r="267">
      <c r="A267" s="7">
        <f>IF(ROW()-1&lt;=Eingabe!$B$4-Eingabe!$B$3+1,Eingabe!$B$3+ROW()-2,"")</f>
        <v/>
      </c>
      <c r="B267" s="5">
        <f>IF(A267="","",TEXT(A267,"yyyy-mm-dd"))</f>
        <v/>
      </c>
      <c r="C267" s="5">
        <f>IF(A267="","",TEXT(A267,"ddd"))</f>
        <v/>
      </c>
      <c r="D267" s="5">
        <f>IF(A267="","",TEXT(A267,"yyyy-mm"))</f>
        <v/>
      </c>
      <c r="E267" s="5">
        <f>IF(A267="","",IF(A267&lt;Eingabe!$B$5,"",INT((A267-Eingabe!$B$5)/(Eingabe!$B$6*7))+1))</f>
        <v/>
      </c>
      <c r="F267" s="8">
        <f>IF(A267="","",SUMPRODUCT((Eingabe!$B$16:$B$165&lt;&gt;"")*(Eingabe!$J$16:$J$165)*--(A267&gt;=Eingabe!$G$16:$G$165)*--(A267&lt;=Eingabe!$H$16:$H$165)*--(WEEKDAY(A267,2)&lt;=5)))</f>
        <v/>
      </c>
      <c r="G267" s="8">
        <f>IF(A267="","",SUM($F$2:F267))</f>
        <v/>
      </c>
      <c r="H267" s="8">
        <f>IF(A267="","",Eingabe!$B$7-G267)</f>
        <v/>
      </c>
      <c r="I267" s="8">
        <f>IF(A267="","",Eingabe!$B$8-SUMIFS($F$2:F267,$D$2:D267,D267))</f>
        <v/>
      </c>
      <c r="J267" s="8">
        <f>IF(A267="","",IF(E267="",1E+99,IFERROR(VLOOKUP(E267,Eingabe!$D$5:$E$44,2,FALSE),Eingabe!$B$9)))</f>
        <v/>
      </c>
      <c r="K267" s="8">
        <f>IF(A267="","",IF(E267="",1E+99,J267-SUMIFS($F$2:F267,$E$2:E267,E267)))</f>
        <v/>
      </c>
      <c r="L267" s="5">
        <f>IF(A267="","",IF(OR(H267&lt;0,I267&lt;0,K267&lt;0),"UNMOEGLICH","OK"))</f>
        <v/>
      </c>
    </row>
    <row r="268">
      <c r="A268" s="7">
        <f>IF(ROW()-1&lt;=Eingabe!$B$4-Eingabe!$B$3+1,Eingabe!$B$3+ROW()-2,"")</f>
        <v/>
      </c>
      <c r="B268" s="5">
        <f>IF(A268="","",TEXT(A268,"yyyy-mm-dd"))</f>
        <v/>
      </c>
      <c r="C268" s="5">
        <f>IF(A268="","",TEXT(A268,"ddd"))</f>
        <v/>
      </c>
      <c r="D268" s="5">
        <f>IF(A268="","",TEXT(A268,"yyyy-mm"))</f>
        <v/>
      </c>
      <c r="E268" s="5">
        <f>IF(A268="","",IF(A268&lt;Eingabe!$B$5,"",INT((A268-Eingabe!$B$5)/(Eingabe!$B$6*7))+1))</f>
        <v/>
      </c>
      <c r="F268" s="8">
        <f>IF(A268="","",SUMPRODUCT((Eingabe!$B$16:$B$165&lt;&gt;"")*(Eingabe!$J$16:$J$165)*--(A268&gt;=Eingabe!$G$16:$G$165)*--(A268&lt;=Eingabe!$H$16:$H$165)*--(WEEKDAY(A268,2)&lt;=5)))</f>
        <v/>
      </c>
      <c r="G268" s="8">
        <f>IF(A268="","",SUM($F$2:F268))</f>
        <v/>
      </c>
      <c r="H268" s="8">
        <f>IF(A268="","",Eingabe!$B$7-G268)</f>
        <v/>
      </c>
      <c r="I268" s="8">
        <f>IF(A268="","",Eingabe!$B$8-SUMIFS($F$2:F268,$D$2:D268,D268))</f>
        <v/>
      </c>
      <c r="J268" s="8">
        <f>IF(A268="","",IF(E268="",1E+99,IFERROR(VLOOKUP(E268,Eingabe!$D$5:$E$44,2,FALSE),Eingabe!$B$9)))</f>
        <v/>
      </c>
      <c r="K268" s="8">
        <f>IF(A268="","",IF(E268="",1E+99,J268-SUMIFS($F$2:F268,$E$2:E268,E268)))</f>
        <v/>
      </c>
      <c r="L268" s="5">
        <f>IF(A268="","",IF(OR(H268&lt;0,I268&lt;0,K268&lt;0),"UNMOEGLICH","OK"))</f>
        <v/>
      </c>
    </row>
    <row r="269">
      <c r="A269" s="7">
        <f>IF(ROW()-1&lt;=Eingabe!$B$4-Eingabe!$B$3+1,Eingabe!$B$3+ROW()-2,"")</f>
        <v/>
      </c>
      <c r="B269" s="5">
        <f>IF(A269="","",TEXT(A269,"yyyy-mm-dd"))</f>
        <v/>
      </c>
      <c r="C269" s="5">
        <f>IF(A269="","",TEXT(A269,"ddd"))</f>
        <v/>
      </c>
      <c r="D269" s="5">
        <f>IF(A269="","",TEXT(A269,"yyyy-mm"))</f>
        <v/>
      </c>
      <c r="E269" s="5">
        <f>IF(A269="","",IF(A269&lt;Eingabe!$B$5,"",INT((A269-Eingabe!$B$5)/(Eingabe!$B$6*7))+1))</f>
        <v/>
      </c>
      <c r="F269" s="8">
        <f>IF(A269="","",SUMPRODUCT((Eingabe!$B$16:$B$165&lt;&gt;"")*(Eingabe!$J$16:$J$165)*--(A269&gt;=Eingabe!$G$16:$G$165)*--(A269&lt;=Eingabe!$H$16:$H$165)*--(WEEKDAY(A269,2)&lt;=5)))</f>
        <v/>
      </c>
      <c r="G269" s="8">
        <f>IF(A269="","",SUM($F$2:F269))</f>
        <v/>
      </c>
      <c r="H269" s="8">
        <f>IF(A269="","",Eingabe!$B$7-G269)</f>
        <v/>
      </c>
      <c r="I269" s="8">
        <f>IF(A269="","",Eingabe!$B$8-SUMIFS($F$2:F269,$D$2:D269,D269))</f>
        <v/>
      </c>
      <c r="J269" s="8">
        <f>IF(A269="","",IF(E269="",1E+99,IFERROR(VLOOKUP(E269,Eingabe!$D$5:$E$44,2,FALSE),Eingabe!$B$9)))</f>
        <v/>
      </c>
      <c r="K269" s="8">
        <f>IF(A269="","",IF(E269="",1E+99,J269-SUMIFS($F$2:F269,$E$2:E269,E269)))</f>
        <v/>
      </c>
      <c r="L269" s="5">
        <f>IF(A269="","",IF(OR(H269&lt;0,I269&lt;0,K269&lt;0),"UNMOEGLICH","OK"))</f>
        <v/>
      </c>
    </row>
    <row r="270">
      <c r="A270" s="7">
        <f>IF(ROW()-1&lt;=Eingabe!$B$4-Eingabe!$B$3+1,Eingabe!$B$3+ROW()-2,"")</f>
        <v/>
      </c>
      <c r="B270" s="5">
        <f>IF(A270="","",TEXT(A270,"yyyy-mm-dd"))</f>
        <v/>
      </c>
      <c r="C270" s="5">
        <f>IF(A270="","",TEXT(A270,"ddd"))</f>
        <v/>
      </c>
      <c r="D270" s="5">
        <f>IF(A270="","",TEXT(A270,"yyyy-mm"))</f>
        <v/>
      </c>
      <c r="E270" s="5">
        <f>IF(A270="","",IF(A270&lt;Eingabe!$B$5,"",INT((A270-Eingabe!$B$5)/(Eingabe!$B$6*7))+1))</f>
        <v/>
      </c>
      <c r="F270" s="8">
        <f>IF(A270="","",SUMPRODUCT((Eingabe!$B$16:$B$165&lt;&gt;"")*(Eingabe!$J$16:$J$165)*--(A270&gt;=Eingabe!$G$16:$G$165)*--(A270&lt;=Eingabe!$H$16:$H$165)*--(WEEKDAY(A270,2)&lt;=5)))</f>
        <v/>
      </c>
      <c r="G270" s="8">
        <f>IF(A270="","",SUM($F$2:F270))</f>
        <v/>
      </c>
      <c r="H270" s="8">
        <f>IF(A270="","",Eingabe!$B$7-G270)</f>
        <v/>
      </c>
      <c r="I270" s="8">
        <f>IF(A270="","",Eingabe!$B$8-SUMIFS($F$2:F270,$D$2:D270,D270))</f>
        <v/>
      </c>
      <c r="J270" s="8">
        <f>IF(A270="","",IF(E270="",1E+99,IFERROR(VLOOKUP(E270,Eingabe!$D$5:$E$44,2,FALSE),Eingabe!$B$9)))</f>
        <v/>
      </c>
      <c r="K270" s="8">
        <f>IF(A270="","",IF(E270="",1E+99,J270-SUMIFS($F$2:F270,$E$2:E270,E270)))</f>
        <v/>
      </c>
      <c r="L270" s="5">
        <f>IF(A270="","",IF(OR(H270&lt;0,I270&lt;0,K270&lt;0),"UNMOEGLICH","OK"))</f>
        <v/>
      </c>
    </row>
    <row r="271">
      <c r="A271" s="7">
        <f>IF(ROW()-1&lt;=Eingabe!$B$4-Eingabe!$B$3+1,Eingabe!$B$3+ROW()-2,"")</f>
        <v/>
      </c>
      <c r="B271" s="5">
        <f>IF(A271="","",TEXT(A271,"yyyy-mm-dd"))</f>
        <v/>
      </c>
      <c r="C271" s="5">
        <f>IF(A271="","",TEXT(A271,"ddd"))</f>
        <v/>
      </c>
      <c r="D271" s="5">
        <f>IF(A271="","",TEXT(A271,"yyyy-mm"))</f>
        <v/>
      </c>
      <c r="E271" s="5">
        <f>IF(A271="","",IF(A271&lt;Eingabe!$B$5,"",INT((A271-Eingabe!$B$5)/(Eingabe!$B$6*7))+1))</f>
        <v/>
      </c>
      <c r="F271" s="8">
        <f>IF(A271="","",SUMPRODUCT((Eingabe!$B$16:$B$165&lt;&gt;"")*(Eingabe!$J$16:$J$165)*--(A271&gt;=Eingabe!$G$16:$G$165)*--(A271&lt;=Eingabe!$H$16:$H$165)*--(WEEKDAY(A271,2)&lt;=5)))</f>
        <v/>
      </c>
      <c r="G271" s="8">
        <f>IF(A271="","",SUM($F$2:F271))</f>
        <v/>
      </c>
      <c r="H271" s="8">
        <f>IF(A271="","",Eingabe!$B$7-G271)</f>
        <v/>
      </c>
      <c r="I271" s="8">
        <f>IF(A271="","",Eingabe!$B$8-SUMIFS($F$2:F271,$D$2:D271,D271))</f>
        <v/>
      </c>
      <c r="J271" s="8">
        <f>IF(A271="","",IF(E271="",1E+99,IFERROR(VLOOKUP(E271,Eingabe!$D$5:$E$44,2,FALSE),Eingabe!$B$9)))</f>
        <v/>
      </c>
      <c r="K271" s="8">
        <f>IF(A271="","",IF(E271="",1E+99,J271-SUMIFS($F$2:F271,$E$2:E271,E271)))</f>
        <v/>
      </c>
      <c r="L271" s="5">
        <f>IF(A271="","",IF(OR(H271&lt;0,I271&lt;0,K271&lt;0),"UNMOEGLICH","OK"))</f>
        <v/>
      </c>
    </row>
    <row r="272">
      <c r="A272" s="7">
        <f>IF(ROW()-1&lt;=Eingabe!$B$4-Eingabe!$B$3+1,Eingabe!$B$3+ROW()-2,"")</f>
        <v/>
      </c>
      <c r="B272" s="5">
        <f>IF(A272="","",TEXT(A272,"yyyy-mm-dd"))</f>
        <v/>
      </c>
      <c r="C272" s="5">
        <f>IF(A272="","",TEXT(A272,"ddd"))</f>
        <v/>
      </c>
      <c r="D272" s="5">
        <f>IF(A272="","",TEXT(A272,"yyyy-mm"))</f>
        <v/>
      </c>
      <c r="E272" s="5">
        <f>IF(A272="","",IF(A272&lt;Eingabe!$B$5,"",INT((A272-Eingabe!$B$5)/(Eingabe!$B$6*7))+1))</f>
        <v/>
      </c>
      <c r="F272" s="8">
        <f>IF(A272="","",SUMPRODUCT((Eingabe!$B$16:$B$165&lt;&gt;"")*(Eingabe!$J$16:$J$165)*--(A272&gt;=Eingabe!$G$16:$G$165)*--(A272&lt;=Eingabe!$H$16:$H$165)*--(WEEKDAY(A272,2)&lt;=5)))</f>
        <v/>
      </c>
      <c r="G272" s="8">
        <f>IF(A272="","",SUM($F$2:F272))</f>
        <v/>
      </c>
      <c r="H272" s="8">
        <f>IF(A272="","",Eingabe!$B$7-G272)</f>
        <v/>
      </c>
      <c r="I272" s="8">
        <f>IF(A272="","",Eingabe!$B$8-SUMIFS($F$2:F272,$D$2:D272,D272))</f>
        <v/>
      </c>
      <c r="J272" s="8">
        <f>IF(A272="","",IF(E272="",1E+99,IFERROR(VLOOKUP(E272,Eingabe!$D$5:$E$44,2,FALSE),Eingabe!$B$9)))</f>
        <v/>
      </c>
      <c r="K272" s="8">
        <f>IF(A272="","",IF(E272="",1E+99,J272-SUMIFS($F$2:F272,$E$2:E272,E272)))</f>
        <v/>
      </c>
      <c r="L272" s="5">
        <f>IF(A272="","",IF(OR(H272&lt;0,I272&lt;0,K272&lt;0),"UNMOEGLICH","OK"))</f>
        <v/>
      </c>
    </row>
    <row r="273">
      <c r="A273" s="7">
        <f>IF(ROW()-1&lt;=Eingabe!$B$4-Eingabe!$B$3+1,Eingabe!$B$3+ROW()-2,"")</f>
        <v/>
      </c>
      <c r="B273" s="5">
        <f>IF(A273="","",TEXT(A273,"yyyy-mm-dd"))</f>
        <v/>
      </c>
      <c r="C273" s="5">
        <f>IF(A273="","",TEXT(A273,"ddd"))</f>
        <v/>
      </c>
      <c r="D273" s="5">
        <f>IF(A273="","",TEXT(A273,"yyyy-mm"))</f>
        <v/>
      </c>
      <c r="E273" s="5">
        <f>IF(A273="","",IF(A273&lt;Eingabe!$B$5,"",INT((A273-Eingabe!$B$5)/(Eingabe!$B$6*7))+1))</f>
        <v/>
      </c>
      <c r="F273" s="8">
        <f>IF(A273="","",SUMPRODUCT((Eingabe!$B$16:$B$165&lt;&gt;"")*(Eingabe!$J$16:$J$165)*--(A273&gt;=Eingabe!$G$16:$G$165)*--(A273&lt;=Eingabe!$H$16:$H$165)*--(WEEKDAY(A273,2)&lt;=5)))</f>
        <v/>
      </c>
      <c r="G273" s="8">
        <f>IF(A273="","",SUM($F$2:F273))</f>
        <v/>
      </c>
      <c r="H273" s="8">
        <f>IF(A273="","",Eingabe!$B$7-G273)</f>
        <v/>
      </c>
      <c r="I273" s="8">
        <f>IF(A273="","",Eingabe!$B$8-SUMIFS($F$2:F273,$D$2:D273,D273))</f>
        <v/>
      </c>
      <c r="J273" s="8">
        <f>IF(A273="","",IF(E273="",1E+99,IFERROR(VLOOKUP(E273,Eingabe!$D$5:$E$44,2,FALSE),Eingabe!$B$9)))</f>
        <v/>
      </c>
      <c r="K273" s="8">
        <f>IF(A273="","",IF(E273="",1E+99,J273-SUMIFS($F$2:F273,$E$2:E273,E273)))</f>
        <v/>
      </c>
      <c r="L273" s="5">
        <f>IF(A273="","",IF(OR(H273&lt;0,I273&lt;0,K273&lt;0),"UNMOEGLICH","OK"))</f>
        <v/>
      </c>
    </row>
    <row r="274">
      <c r="A274" s="7">
        <f>IF(ROW()-1&lt;=Eingabe!$B$4-Eingabe!$B$3+1,Eingabe!$B$3+ROW()-2,"")</f>
        <v/>
      </c>
      <c r="B274" s="5">
        <f>IF(A274="","",TEXT(A274,"yyyy-mm-dd"))</f>
        <v/>
      </c>
      <c r="C274" s="5">
        <f>IF(A274="","",TEXT(A274,"ddd"))</f>
        <v/>
      </c>
      <c r="D274" s="5">
        <f>IF(A274="","",TEXT(A274,"yyyy-mm"))</f>
        <v/>
      </c>
      <c r="E274" s="5">
        <f>IF(A274="","",IF(A274&lt;Eingabe!$B$5,"",INT((A274-Eingabe!$B$5)/(Eingabe!$B$6*7))+1))</f>
        <v/>
      </c>
      <c r="F274" s="8">
        <f>IF(A274="","",SUMPRODUCT((Eingabe!$B$16:$B$165&lt;&gt;"")*(Eingabe!$J$16:$J$165)*--(A274&gt;=Eingabe!$G$16:$G$165)*--(A274&lt;=Eingabe!$H$16:$H$165)*--(WEEKDAY(A274,2)&lt;=5)))</f>
        <v/>
      </c>
      <c r="G274" s="8">
        <f>IF(A274="","",SUM($F$2:F274))</f>
        <v/>
      </c>
      <c r="H274" s="8">
        <f>IF(A274="","",Eingabe!$B$7-G274)</f>
        <v/>
      </c>
      <c r="I274" s="8">
        <f>IF(A274="","",Eingabe!$B$8-SUMIFS($F$2:F274,$D$2:D274,D274))</f>
        <v/>
      </c>
      <c r="J274" s="8">
        <f>IF(A274="","",IF(E274="",1E+99,IFERROR(VLOOKUP(E274,Eingabe!$D$5:$E$44,2,FALSE),Eingabe!$B$9)))</f>
        <v/>
      </c>
      <c r="K274" s="8">
        <f>IF(A274="","",IF(E274="",1E+99,J274-SUMIFS($F$2:F274,$E$2:E274,E274)))</f>
        <v/>
      </c>
      <c r="L274" s="5">
        <f>IF(A274="","",IF(OR(H274&lt;0,I274&lt;0,K274&lt;0),"UNMOEGLICH","OK"))</f>
        <v/>
      </c>
    </row>
    <row r="275">
      <c r="A275" s="7">
        <f>IF(ROW()-1&lt;=Eingabe!$B$4-Eingabe!$B$3+1,Eingabe!$B$3+ROW()-2,"")</f>
        <v/>
      </c>
      <c r="B275" s="5">
        <f>IF(A275="","",TEXT(A275,"yyyy-mm-dd"))</f>
        <v/>
      </c>
      <c r="C275" s="5">
        <f>IF(A275="","",TEXT(A275,"ddd"))</f>
        <v/>
      </c>
      <c r="D275" s="5">
        <f>IF(A275="","",TEXT(A275,"yyyy-mm"))</f>
        <v/>
      </c>
      <c r="E275" s="5">
        <f>IF(A275="","",IF(A275&lt;Eingabe!$B$5,"",INT((A275-Eingabe!$B$5)/(Eingabe!$B$6*7))+1))</f>
        <v/>
      </c>
      <c r="F275" s="8">
        <f>IF(A275="","",SUMPRODUCT((Eingabe!$B$16:$B$165&lt;&gt;"")*(Eingabe!$J$16:$J$165)*--(A275&gt;=Eingabe!$G$16:$G$165)*--(A275&lt;=Eingabe!$H$16:$H$165)*--(WEEKDAY(A275,2)&lt;=5)))</f>
        <v/>
      </c>
      <c r="G275" s="8">
        <f>IF(A275="","",SUM($F$2:F275))</f>
        <v/>
      </c>
      <c r="H275" s="8">
        <f>IF(A275="","",Eingabe!$B$7-G275)</f>
        <v/>
      </c>
      <c r="I275" s="8">
        <f>IF(A275="","",Eingabe!$B$8-SUMIFS($F$2:F275,$D$2:D275,D275))</f>
        <v/>
      </c>
      <c r="J275" s="8">
        <f>IF(A275="","",IF(E275="",1E+99,IFERROR(VLOOKUP(E275,Eingabe!$D$5:$E$44,2,FALSE),Eingabe!$B$9)))</f>
        <v/>
      </c>
      <c r="K275" s="8">
        <f>IF(A275="","",IF(E275="",1E+99,J275-SUMIFS($F$2:F275,$E$2:E275,E275)))</f>
        <v/>
      </c>
      <c r="L275" s="5">
        <f>IF(A275="","",IF(OR(H275&lt;0,I275&lt;0,K275&lt;0),"UNMOEGLICH","OK"))</f>
        <v/>
      </c>
    </row>
    <row r="276">
      <c r="A276" s="7">
        <f>IF(ROW()-1&lt;=Eingabe!$B$4-Eingabe!$B$3+1,Eingabe!$B$3+ROW()-2,"")</f>
        <v/>
      </c>
      <c r="B276" s="5">
        <f>IF(A276="","",TEXT(A276,"yyyy-mm-dd"))</f>
        <v/>
      </c>
      <c r="C276" s="5">
        <f>IF(A276="","",TEXT(A276,"ddd"))</f>
        <v/>
      </c>
      <c r="D276" s="5">
        <f>IF(A276="","",TEXT(A276,"yyyy-mm"))</f>
        <v/>
      </c>
      <c r="E276" s="5">
        <f>IF(A276="","",IF(A276&lt;Eingabe!$B$5,"",INT((A276-Eingabe!$B$5)/(Eingabe!$B$6*7))+1))</f>
        <v/>
      </c>
      <c r="F276" s="8">
        <f>IF(A276="","",SUMPRODUCT((Eingabe!$B$16:$B$165&lt;&gt;"")*(Eingabe!$J$16:$J$165)*--(A276&gt;=Eingabe!$G$16:$G$165)*--(A276&lt;=Eingabe!$H$16:$H$165)*--(WEEKDAY(A276,2)&lt;=5)))</f>
        <v/>
      </c>
      <c r="G276" s="8">
        <f>IF(A276="","",SUM($F$2:F276))</f>
        <v/>
      </c>
      <c r="H276" s="8">
        <f>IF(A276="","",Eingabe!$B$7-G276)</f>
        <v/>
      </c>
      <c r="I276" s="8">
        <f>IF(A276="","",Eingabe!$B$8-SUMIFS($F$2:F276,$D$2:D276,D276))</f>
        <v/>
      </c>
      <c r="J276" s="8">
        <f>IF(A276="","",IF(E276="",1E+99,IFERROR(VLOOKUP(E276,Eingabe!$D$5:$E$44,2,FALSE),Eingabe!$B$9)))</f>
        <v/>
      </c>
      <c r="K276" s="8">
        <f>IF(A276="","",IF(E276="",1E+99,J276-SUMIFS($F$2:F276,$E$2:E276,E276)))</f>
        <v/>
      </c>
      <c r="L276" s="5">
        <f>IF(A276="","",IF(OR(H276&lt;0,I276&lt;0,K276&lt;0),"UNMOEGLICH","OK"))</f>
        <v/>
      </c>
    </row>
    <row r="277">
      <c r="A277" s="7">
        <f>IF(ROW()-1&lt;=Eingabe!$B$4-Eingabe!$B$3+1,Eingabe!$B$3+ROW()-2,"")</f>
        <v/>
      </c>
      <c r="B277" s="5">
        <f>IF(A277="","",TEXT(A277,"yyyy-mm-dd"))</f>
        <v/>
      </c>
      <c r="C277" s="5">
        <f>IF(A277="","",TEXT(A277,"ddd"))</f>
        <v/>
      </c>
      <c r="D277" s="5">
        <f>IF(A277="","",TEXT(A277,"yyyy-mm"))</f>
        <v/>
      </c>
      <c r="E277" s="5">
        <f>IF(A277="","",IF(A277&lt;Eingabe!$B$5,"",INT((A277-Eingabe!$B$5)/(Eingabe!$B$6*7))+1))</f>
        <v/>
      </c>
      <c r="F277" s="8">
        <f>IF(A277="","",SUMPRODUCT((Eingabe!$B$16:$B$165&lt;&gt;"")*(Eingabe!$J$16:$J$165)*--(A277&gt;=Eingabe!$G$16:$G$165)*--(A277&lt;=Eingabe!$H$16:$H$165)*--(WEEKDAY(A277,2)&lt;=5)))</f>
        <v/>
      </c>
      <c r="G277" s="8">
        <f>IF(A277="","",SUM($F$2:F277))</f>
        <v/>
      </c>
      <c r="H277" s="8">
        <f>IF(A277="","",Eingabe!$B$7-G277)</f>
        <v/>
      </c>
      <c r="I277" s="8">
        <f>IF(A277="","",Eingabe!$B$8-SUMIFS($F$2:F277,$D$2:D277,D277))</f>
        <v/>
      </c>
      <c r="J277" s="8">
        <f>IF(A277="","",IF(E277="",1E+99,IFERROR(VLOOKUP(E277,Eingabe!$D$5:$E$44,2,FALSE),Eingabe!$B$9)))</f>
        <v/>
      </c>
      <c r="K277" s="8">
        <f>IF(A277="","",IF(E277="",1E+99,J277-SUMIFS($F$2:F277,$E$2:E277,E277)))</f>
        <v/>
      </c>
      <c r="L277" s="5">
        <f>IF(A277="","",IF(OR(H277&lt;0,I277&lt;0,K277&lt;0),"UNMOEGLICH","OK"))</f>
        <v/>
      </c>
    </row>
    <row r="278">
      <c r="A278" s="7">
        <f>IF(ROW()-1&lt;=Eingabe!$B$4-Eingabe!$B$3+1,Eingabe!$B$3+ROW()-2,"")</f>
        <v/>
      </c>
      <c r="B278" s="5">
        <f>IF(A278="","",TEXT(A278,"yyyy-mm-dd"))</f>
        <v/>
      </c>
      <c r="C278" s="5">
        <f>IF(A278="","",TEXT(A278,"ddd"))</f>
        <v/>
      </c>
      <c r="D278" s="5">
        <f>IF(A278="","",TEXT(A278,"yyyy-mm"))</f>
        <v/>
      </c>
      <c r="E278" s="5">
        <f>IF(A278="","",IF(A278&lt;Eingabe!$B$5,"",INT((A278-Eingabe!$B$5)/(Eingabe!$B$6*7))+1))</f>
        <v/>
      </c>
      <c r="F278" s="8">
        <f>IF(A278="","",SUMPRODUCT((Eingabe!$B$16:$B$165&lt;&gt;"")*(Eingabe!$J$16:$J$165)*--(A278&gt;=Eingabe!$G$16:$G$165)*--(A278&lt;=Eingabe!$H$16:$H$165)*--(WEEKDAY(A278,2)&lt;=5)))</f>
        <v/>
      </c>
      <c r="G278" s="8">
        <f>IF(A278="","",SUM($F$2:F278))</f>
        <v/>
      </c>
      <c r="H278" s="8">
        <f>IF(A278="","",Eingabe!$B$7-G278)</f>
        <v/>
      </c>
      <c r="I278" s="8">
        <f>IF(A278="","",Eingabe!$B$8-SUMIFS($F$2:F278,$D$2:D278,D278))</f>
        <v/>
      </c>
      <c r="J278" s="8">
        <f>IF(A278="","",IF(E278="",1E+99,IFERROR(VLOOKUP(E278,Eingabe!$D$5:$E$44,2,FALSE),Eingabe!$B$9)))</f>
        <v/>
      </c>
      <c r="K278" s="8">
        <f>IF(A278="","",IF(E278="",1E+99,J278-SUMIFS($F$2:F278,$E$2:E278,E278)))</f>
        <v/>
      </c>
      <c r="L278" s="5">
        <f>IF(A278="","",IF(OR(H278&lt;0,I278&lt;0,K278&lt;0),"UNMOEGLICH","OK"))</f>
        <v/>
      </c>
    </row>
    <row r="279">
      <c r="A279" s="7">
        <f>IF(ROW()-1&lt;=Eingabe!$B$4-Eingabe!$B$3+1,Eingabe!$B$3+ROW()-2,"")</f>
        <v/>
      </c>
      <c r="B279" s="5">
        <f>IF(A279="","",TEXT(A279,"yyyy-mm-dd"))</f>
        <v/>
      </c>
      <c r="C279" s="5">
        <f>IF(A279="","",TEXT(A279,"ddd"))</f>
        <v/>
      </c>
      <c r="D279" s="5">
        <f>IF(A279="","",TEXT(A279,"yyyy-mm"))</f>
        <v/>
      </c>
      <c r="E279" s="5">
        <f>IF(A279="","",IF(A279&lt;Eingabe!$B$5,"",INT((A279-Eingabe!$B$5)/(Eingabe!$B$6*7))+1))</f>
        <v/>
      </c>
      <c r="F279" s="8">
        <f>IF(A279="","",SUMPRODUCT((Eingabe!$B$16:$B$165&lt;&gt;"")*(Eingabe!$J$16:$J$165)*--(A279&gt;=Eingabe!$G$16:$G$165)*--(A279&lt;=Eingabe!$H$16:$H$165)*--(WEEKDAY(A279,2)&lt;=5)))</f>
        <v/>
      </c>
      <c r="G279" s="8">
        <f>IF(A279="","",SUM($F$2:F279))</f>
        <v/>
      </c>
      <c r="H279" s="8">
        <f>IF(A279="","",Eingabe!$B$7-G279)</f>
        <v/>
      </c>
      <c r="I279" s="8">
        <f>IF(A279="","",Eingabe!$B$8-SUMIFS($F$2:F279,$D$2:D279,D279))</f>
        <v/>
      </c>
      <c r="J279" s="8">
        <f>IF(A279="","",IF(E279="",1E+99,IFERROR(VLOOKUP(E279,Eingabe!$D$5:$E$44,2,FALSE),Eingabe!$B$9)))</f>
        <v/>
      </c>
      <c r="K279" s="8">
        <f>IF(A279="","",IF(E279="",1E+99,J279-SUMIFS($F$2:F279,$E$2:E279,E279)))</f>
        <v/>
      </c>
      <c r="L279" s="5">
        <f>IF(A279="","",IF(OR(H279&lt;0,I279&lt;0,K279&lt;0),"UNMOEGLICH","OK"))</f>
        <v/>
      </c>
    </row>
    <row r="280">
      <c r="A280" s="7">
        <f>IF(ROW()-1&lt;=Eingabe!$B$4-Eingabe!$B$3+1,Eingabe!$B$3+ROW()-2,"")</f>
        <v/>
      </c>
      <c r="B280" s="5">
        <f>IF(A280="","",TEXT(A280,"yyyy-mm-dd"))</f>
        <v/>
      </c>
      <c r="C280" s="5">
        <f>IF(A280="","",TEXT(A280,"ddd"))</f>
        <v/>
      </c>
      <c r="D280" s="5">
        <f>IF(A280="","",TEXT(A280,"yyyy-mm"))</f>
        <v/>
      </c>
      <c r="E280" s="5">
        <f>IF(A280="","",IF(A280&lt;Eingabe!$B$5,"",INT((A280-Eingabe!$B$5)/(Eingabe!$B$6*7))+1))</f>
        <v/>
      </c>
      <c r="F280" s="8">
        <f>IF(A280="","",SUMPRODUCT((Eingabe!$B$16:$B$165&lt;&gt;"")*(Eingabe!$J$16:$J$165)*--(A280&gt;=Eingabe!$G$16:$G$165)*--(A280&lt;=Eingabe!$H$16:$H$165)*--(WEEKDAY(A280,2)&lt;=5)))</f>
        <v/>
      </c>
      <c r="G280" s="8">
        <f>IF(A280="","",SUM($F$2:F280))</f>
        <v/>
      </c>
      <c r="H280" s="8">
        <f>IF(A280="","",Eingabe!$B$7-G280)</f>
        <v/>
      </c>
      <c r="I280" s="8">
        <f>IF(A280="","",Eingabe!$B$8-SUMIFS($F$2:F280,$D$2:D280,D280))</f>
        <v/>
      </c>
      <c r="J280" s="8">
        <f>IF(A280="","",IF(E280="",1E+99,IFERROR(VLOOKUP(E280,Eingabe!$D$5:$E$44,2,FALSE),Eingabe!$B$9)))</f>
        <v/>
      </c>
      <c r="K280" s="8">
        <f>IF(A280="","",IF(E280="",1E+99,J280-SUMIFS($F$2:F280,$E$2:E280,E280)))</f>
        <v/>
      </c>
      <c r="L280" s="5">
        <f>IF(A280="","",IF(OR(H280&lt;0,I280&lt;0,K280&lt;0),"UNMOEGLICH","OK"))</f>
        <v/>
      </c>
    </row>
    <row r="281">
      <c r="A281" s="7">
        <f>IF(ROW()-1&lt;=Eingabe!$B$4-Eingabe!$B$3+1,Eingabe!$B$3+ROW()-2,"")</f>
        <v/>
      </c>
      <c r="B281" s="5">
        <f>IF(A281="","",TEXT(A281,"yyyy-mm-dd"))</f>
        <v/>
      </c>
      <c r="C281" s="5">
        <f>IF(A281="","",TEXT(A281,"ddd"))</f>
        <v/>
      </c>
      <c r="D281" s="5">
        <f>IF(A281="","",TEXT(A281,"yyyy-mm"))</f>
        <v/>
      </c>
      <c r="E281" s="5">
        <f>IF(A281="","",IF(A281&lt;Eingabe!$B$5,"",INT((A281-Eingabe!$B$5)/(Eingabe!$B$6*7))+1))</f>
        <v/>
      </c>
      <c r="F281" s="8">
        <f>IF(A281="","",SUMPRODUCT((Eingabe!$B$16:$B$165&lt;&gt;"")*(Eingabe!$J$16:$J$165)*--(A281&gt;=Eingabe!$G$16:$G$165)*--(A281&lt;=Eingabe!$H$16:$H$165)*--(WEEKDAY(A281,2)&lt;=5)))</f>
        <v/>
      </c>
      <c r="G281" s="8">
        <f>IF(A281="","",SUM($F$2:F281))</f>
        <v/>
      </c>
      <c r="H281" s="8">
        <f>IF(A281="","",Eingabe!$B$7-G281)</f>
        <v/>
      </c>
      <c r="I281" s="8">
        <f>IF(A281="","",Eingabe!$B$8-SUMIFS($F$2:F281,$D$2:D281,D281))</f>
        <v/>
      </c>
      <c r="J281" s="8">
        <f>IF(A281="","",IF(E281="",1E+99,IFERROR(VLOOKUP(E281,Eingabe!$D$5:$E$44,2,FALSE),Eingabe!$B$9)))</f>
        <v/>
      </c>
      <c r="K281" s="8">
        <f>IF(A281="","",IF(E281="",1E+99,J281-SUMIFS($F$2:F281,$E$2:E281,E281)))</f>
        <v/>
      </c>
      <c r="L281" s="5">
        <f>IF(A281="","",IF(OR(H281&lt;0,I281&lt;0,K281&lt;0),"UNMOEGLICH","OK"))</f>
        <v/>
      </c>
    </row>
    <row r="282">
      <c r="A282" s="7">
        <f>IF(ROW()-1&lt;=Eingabe!$B$4-Eingabe!$B$3+1,Eingabe!$B$3+ROW()-2,"")</f>
        <v/>
      </c>
      <c r="B282" s="5">
        <f>IF(A282="","",TEXT(A282,"yyyy-mm-dd"))</f>
        <v/>
      </c>
      <c r="C282" s="5">
        <f>IF(A282="","",TEXT(A282,"ddd"))</f>
        <v/>
      </c>
      <c r="D282" s="5">
        <f>IF(A282="","",TEXT(A282,"yyyy-mm"))</f>
        <v/>
      </c>
      <c r="E282" s="5">
        <f>IF(A282="","",IF(A282&lt;Eingabe!$B$5,"",INT((A282-Eingabe!$B$5)/(Eingabe!$B$6*7))+1))</f>
        <v/>
      </c>
      <c r="F282" s="8">
        <f>IF(A282="","",SUMPRODUCT((Eingabe!$B$16:$B$165&lt;&gt;"")*(Eingabe!$J$16:$J$165)*--(A282&gt;=Eingabe!$G$16:$G$165)*--(A282&lt;=Eingabe!$H$16:$H$165)*--(WEEKDAY(A282,2)&lt;=5)))</f>
        <v/>
      </c>
      <c r="G282" s="8">
        <f>IF(A282="","",SUM($F$2:F282))</f>
        <v/>
      </c>
      <c r="H282" s="8">
        <f>IF(A282="","",Eingabe!$B$7-G282)</f>
        <v/>
      </c>
      <c r="I282" s="8">
        <f>IF(A282="","",Eingabe!$B$8-SUMIFS($F$2:F282,$D$2:D282,D282))</f>
        <v/>
      </c>
      <c r="J282" s="8">
        <f>IF(A282="","",IF(E282="",1E+99,IFERROR(VLOOKUP(E282,Eingabe!$D$5:$E$44,2,FALSE),Eingabe!$B$9)))</f>
        <v/>
      </c>
      <c r="K282" s="8">
        <f>IF(A282="","",IF(E282="",1E+99,J282-SUMIFS($F$2:F282,$E$2:E282,E282)))</f>
        <v/>
      </c>
      <c r="L282" s="5">
        <f>IF(A282="","",IF(OR(H282&lt;0,I282&lt;0,K282&lt;0),"UNMOEGLICH","OK"))</f>
        <v/>
      </c>
    </row>
    <row r="283">
      <c r="A283" s="7">
        <f>IF(ROW()-1&lt;=Eingabe!$B$4-Eingabe!$B$3+1,Eingabe!$B$3+ROW()-2,"")</f>
        <v/>
      </c>
      <c r="B283" s="5">
        <f>IF(A283="","",TEXT(A283,"yyyy-mm-dd"))</f>
        <v/>
      </c>
      <c r="C283" s="5">
        <f>IF(A283="","",TEXT(A283,"ddd"))</f>
        <v/>
      </c>
      <c r="D283" s="5">
        <f>IF(A283="","",TEXT(A283,"yyyy-mm"))</f>
        <v/>
      </c>
      <c r="E283" s="5">
        <f>IF(A283="","",IF(A283&lt;Eingabe!$B$5,"",INT((A283-Eingabe!$B$5)/(Eingabe!$B$6*7))+1))</f>
        <v/>
      </c>
      <c r="F283" s="8">
        <f>IF(A283="","",SUMPRODUCT((Eingabe!$B$16:$B$165&lt;&gt;"")*(Eingabe!$J$16:$J$165)*--(A283&gt;=Eingabe!$G$16:$G$165)*--(A283&lt;=Eingabe!$H$16:$H$165)*--(WEEKDAY(A283,2)&lt;=5)))</f>
        <v/>
      </c>
      <c r="G283" s="8">
        <f>IF(A283="","",SUM($F$2:F283))</f>
        <v/>
      </c>
      <c r="H283" s="8">
        <f>IF(A283="","",Eingabe!$B$7-G283)</f>
        <v/>
      </c>
      <c r="I283" s="8">
        <f>IF(A283="","",Eingabe!$B$8-SUMIFS($F$2:F283,$D$2:D283,D283))</f>
        <v/>
      </c>
      <c r="J283" s="8">
        <f>IF(A283="","",IF(E283="",1E+99,IFERROR(VLOOKUP(E283,Eingabe!$D$5:$E$44,2,FALSE),Eingabe!$B$9)))</f>
        <v/>
      </c>
      <c r="K283" s="8">
        <f>IF(A283="","",IF(E283="",1E+99,J283-SUMIFS($F$2:F283,$E$2:E283,E283)))</f>
        <v/>
      </c>
      <c r="L283" s="5">
        <f>IF(A283="","",IF(OR(H283&lt;0,I283&lt;0,K283&lt;0),"UNMOEGLICH","OK"))</f>
        <v/>
      </c>
    </row>
    <row r="284">
      <c r="A284" s="7">
        <f>IF(ROW()-1&lt;=Eingabe!$B$4-Eingabe!$B$3+1,Eingabe!$B$3+ROW()-2,"")</f>
        <v/>
      </c>
      <c r="B284" s="5">
        <f>IF(A284="","",TEXT(A284,"yyyy-mm-dd"))</f>
        <v/>
      </c>
      <c r="C284" s="5">
        <f>IF(A284="","",TEXT(A284,"ddd"))</f>
        <v/>
      </c>
      <c r="D284" s="5">
        <f>IF(A284="","",TEXT(A284,"yyyy-mm"))</f>
        <v/>
      </c>
      <c r="E284" s="5">
        <f>IF(A284="","",IF(A284&lt;Eingabe!$B$5,"",INT((A284-Eingabe!$B$5)/(Eingabe!$B$6*7))+1))</f>
        <v/>
      </c>
      <c r="F284" s="8">
        <f>IF(A284="","",SUMPRODUCT((Eingabe!$B$16:$B$165&lt;&gt;"")*(Eingabe!$J$16:$J$165)*--(A284&gt;=Eingabe!$G$16:$G$165)*--(A284&lt;=Eingabe!$H$16:$H$165)*--(WEEKDAY(A284,2)&lt;=5)))</f>
        <v/>
      </c>
      <c r="G284" s="8">
        <f>IF(A284="","",SUM($F$2:F284))</f>
        <v/>
      </c>
      <c r="H284" s="8">
        <f>IF(A284="","",Eingabe!$B$7-G284)</f>
        <v/>
      </c>
      <c r="I284" s="8">
        <f>IF(A284="","",Eingabe!$B$8-SUMIFS($F$2:F284,$D$2:D284,D284))</f>
        <v/>
      </c>
      <c r="J284" s="8">
        <f>IF(A284="","",IF(E284="",1E+99,IFERROR(VLOOKUP(E284,Eingabe!$D$5:$E$44,2,FALSE),Eingabe!$B$9)))</f>
        <v/>
      </c>
      <c r="K284" s="8">
        <f>IF(A284="","",IF(E284="",1E+99,J284-SUMIFS($F$2:F284,$E$2:E284,E284)))</f>
        <v/>
      </c>
      <c r="L284" s="5">
        <f>IF(A284="","",IF(OR(H284&lt;0,I284&lt;0,K284&lt;0),"UNMOEGLICH","OK"))</f>
        <v/>
      </c>
    </row>
    <row r="285">
      <c r="A285" s="7">
        <f>IF(ROW()-1&lt;=Eingabe!$B$4-Eingabe!$B$3+1,Eingabe!$B$3+ROW()-2,"")</f>
        <v/>
      </c>
      <c r="B285" s="5">
        <f>IF(A285="","",TEXT(A285,"yyyy-mm-dd"))</f>
        <v/>
      </c>
      <c r="C285" s="5">
        <f>IF(A285="","",TEXT(A285,"ddd"))</f>
        <v/>
      </c>
      <c r="D285" s="5">
        <f>IF(A285="","",TEXT(A285,"yyyy-mm"))</f>
        <v/>
      </c>
      <c r="E285" s="5">
        <f>IF(A285="","",IF(A285&lt;Eingabe!$B$5,"",INT((A285-Eingabe!$B$5)/(Eingabe!$B$6*7))+1))</f>
        <v/>
      </c>
      <c r="F285" s="8">
        <f>IF(A285="","",SUMPRODUCT((Eingabe!$B$16:$B$165&lt;&gt;"")*(Eingabe!$J$16:$J$165)*--(A285&gt;=Eingabe!$G$16:$G$165)*--(A285&lt;=Eingabe!$H$16:$H$165)*--(WEEKDAY(A285,2)&lt;=5)))</f>
        <v/>
      </c>
      <c r="G285" s="8">
        <f>IF(A285="","",SUM($F$2:F285))</f>
        <v/>
      </c>
      <c r="H285" s="8">
        <f>IF(A285="","",Eingabe!$B$7-G285)</f>
        <v/>
      </c>
      <c r="I285" s="8">
        <f>IF(A285="","",Eingabe!$B$8-SUMIFS($F$2:F285,$D$2:D285,D285))</f>
        <v/>
      </c>
      <c r="J285" s="8">
        <f>IF(A285="","",IF(E285="",1E+99,IFERROR(VLOOKUP(E285,Eingabe!$D$5:$E$44,2,FALSE),Eingabe!$B$9)))</f>
        <v/>
      </c>
      <c r="K285" s="8">
        <f>IF(A285="","",IF(E285="",1E+99,J285-SUMIFS($F$2:F285,$E$2:E285,E285)))</f>
        <v/>
      </c>
      <c r="L285" s="5">
        <f>IF(A285="","",IF(OR(H285&lt;0,I285&lt;0,K285&lt;0),"UNMOEGLICH","OK"))</f>
        <v/>
      </c>
    </row>
    <row r="286">
      <c r="A286" s="7">
        <f>IF(ROW()-1&lt;=Eingabe!$B$4-Eingabe!$B$3+1,Eingabe!$B$3+ROW()-2,"")</f>
        <v/>
      </c>
      <c r="B286" s="5">
        <f>IF(A286="","",TEXT(A286,"yyyy-mm-dd"))</f>
        <v/>
      </c>
      <c r="C286" s="5">
        <f>IF(A286="","",TEXT(A286,"ddd"))</f>
        <v/>
      </c>
      <c r="D286" s="5">
        <f>IF(A286="","",TEXT(A286,"yyyy-mm"))</f>
        <v/>
      </c>
      <c r="E286" s="5">
        <f>IF(A286="","",IF(A286&lt;Eingabe!$B$5,"",INT((A286-Eingabe!$B$5)/(Eingabe!$B$6*7))+1))</f>
        <v/>
      </c>
      <c r="F286" s="8">
        <f>IF(A286="","",SUMPRODUCT((Eingabe!$B$16:$B$165&lt;&gt;"")*(Eingabe!$J$16:$J$165)*--(A286&gt;=Eingabe!$G$16:$G$165)*--(A286&lt;=Eingabe!$H$16:$H$165)*--(WEEKDAY(A286,2)&lt;=5)))</f>
        <v/>
      </c>
      <c r="G286" s="8">
        <f>IF(A286="","",SUM($F$2:F286))</f>
        <v/>
      </c>
      <c r="H286" s="8">
        <f>IF(A286="","",Eingabe!$B$7-G286)</f>
        <v/>
      </c>
      <c r="I286" s="8">
        <f>IF(A286="","",Eingabe!$B$8-SUMIFS($F$2:F286,$D$2:D286,D286))</f>
        <v/>
      </c>
      <c r="J286" s="8">
        <f>IF(A286="","",IF(E286="",1E+99,IFERROR(VLOOKUP(E286,Eingabe!$D$5:$E$44,2,FALSE),Eingabe!$B$9)))</f>
        <v/>
      </c>
      <c r="K286" s="8">
        <f>IF(A286="","",IF(E286="",1E+99,J286-SUMIFS($F$2:F286,$E$2:E286,E286)))</f>
        <v/>
      </c>
      <c r="L286" s="5">
        <f>IF(A286="","",IF(OR(H286&lt;0,I286&lt;0,K286&lt;0),"UNMOEGLICH","OK"))</f>
        <v/>
      </c>
    </row>
    <row r="287">
      <c r="A287" s="7">
        <f>IF(ROW()-1&lt;=Eingabe!$B$4-Eingabe!$B$3+1,Eingabe!$B$3+ROW()-2,"")</f>
        <v/>
      </c>
      <c r="B287" s="5">
        <f>IF(A287="","",TEXT(A287,"yyyy-mm-dd"))</f>
        <v/>
      </c>
      <c r="C287" s="5">
        <f>IF(A287="","",TEXT(A287,"ddd"))</f>
        <v/>
      </c>
      <c r="D287" s="5">
        <f>IF(A287="","",TEXT(A287,"yyyy-mm"))</f>
        <v/>
      </c>
      <c r="E287" s="5">
        <f>IF(A287="","",IF(A287&lt;Eingabe!$B$5,"",INT((A287-Eingabe!$B$5)/(Eingabe!$B$6*7))+1))</f>
        <v/>
      </c>
      <c r="F287" s="8">
        <f>IF(A287="","",SUMPRODUCT((Eingabe!$B$16:$B$165&lt;&gt;"")*(Eingabe!$J$16:$J$165)*--(A287&gt;=Eingabe!$G$16:$G$165)*--(A287&lt;=Eingabe!$H$16:$H$165)*--(WEEKDAY(A287,2)&lt;=5)))</f>
        <v/>
      </c>
      <c r="G287" s="8">
        <f>IF(A287="","",SUM($F$2:F287))</f>
        <v/>
      </c>
      <c r="H287" s="8">
        <f>IF(A287="","",Eingabe!$B$7-G287)</f>
        <v/>
      </c>
      <c r="I287" s="8">
        <f>IF(A287="","",Eingabe!$B$8-SUMIFS($F$2:F287,$D$2:D287,D287))</f>
        <v/>
      </c>
      <c r="J287" s="8">
        <f>IF(A287="","",IF(E287="",1E+99,IFERROR(VLOOKUP(E287,Eingabe!$D$5:$E$44,2,FALSE),Eingabe!$B$9)))</f>
        <v/>
      </c>
      <c r="K287" s="8">
        <f>IF(A287="","",IF(E287="",1E+99,J287-SUMIFS($F$2:F287,$E$2:E287,E287)))</f>
        <v/>
      </c>
      <c r="L287" s="5">
        <f>IF(A287="","",IF(OR(H287&lt;0,I287&lt;0,K287&lt;0),"UNMOEGLICH","OK"))</f>
        <v/>
      </c>
    </row>
    <row r="288">
      <c r="A288" s="7">
        <f>IF(ROW()-1&lt;=Eingabe!$B$4-Eingabe!$B$3+1,Eingabe!$B$3+ROW()-2,"")</f>
        <v/>
      </c>
      <c r="B288" s="5">
        <f>IF(A288="","",TEXT(A288,"yyyy-mm-dd"))</f>
        <v/>
      </c>
      <c r="C288" s="5">
        <f>IF(A288="","",TEXT(A288,"ddd"))</f>
        <v/>
      </c>
      <c r="D288" s="5">
        <f>IF(A288="","",TEXT(A288,"yyyy-mm"))</f>
        <v/>
      </c>
      <c r="E288" s="5">
        <f>IF(A288="","",IF(A288&lt;Eingabe!$B$5,"",INT((A288-Eingabe!$B$5)/(Eingabe!$B$6*7))+1))</f>
        <v/>
      </c>
      <c r="F288" s="8">
        <f>IF(A288="","",SUMPRODUCT((Eingabe!$B$16:$B$165&lt;&gt;"")*(Eingabe!$J$16:$J$165)*--(A288&gt;=Eingabe!$G$16:$G$165)*--(A288&lt;=Eingabe!$H$16:$H$165)*--(WEEKDAY(A288,2)&lt;=5)))</f>
        <v/>
      </c>
      <c r="G288" s="8">
        <f>IF(A288="","",SUM($F$2:F288))</f>
        <v/>
      </c>
      <c r="H288" s="8">
        <f>IF(A288="","",Eingabe!$B$7-G288)</f>
        <v/>
      </c>
      <c r="I288" s="8">
        <f>IF(A288="","",Eingabe!$B$8-SUMIFS($F$2:F288,$D$2:D288,D288))</f>
        <v/>
      </c>
      <c r="J288" s="8">
        <f>IF(A288="","",IF(E288="",1E+99,IFERROR(VLOOKUP(E288,Eingabe!$D$5:$E$44,2,FALSE),Eingabe!$B$9)))</f>
        <v/>
      </c>
      <c r="K288" s="8">
        <f>IF(A288="","",IF(E288="",1E+99,J288-SUMIFS($F$2:F288,$E$2:E288,E288)))</f>
        <v/>
      </c>
      <c r="L288" s="5">
        <f>IF(A288="","",IF(OR(H288&lt;0,I288&lt;0,K288&lt;0),"UNMOEGLICH","OK"))</f>
        <v/>
      </c>
    </row>
    <row r="289">
      <c r="A289" s="7">
        <f>IF(ROW()-1&lt;=Eingabe!$B$4-Eingabe!$B$3+1,Eingabe!$B$3+ROW()-2,"")</f>
        <v/>
      </c>
      <c r="B289" s="5">
        <f>IF(A289="","",TEXT(A289,"yyyy-mm-dd"))</f>
        <v/>
      </c>
      <c r="C289" s="5">
        <f>IF(A289="","",TEXT(A289,"ddd"))</f>
        <v/>
      </c>
      <c r="D289" s="5">
        <f>IF(A289="","",TEXT(A289,"yyyy-mm"))</f>
        <v/>
      </c>
      <c r="E289" s="5">
        <f>IF(A289="","",IF(A289&lt;Eingabe!$B$5,"",INT((A289-Eingabe!$B$5)/(Eingabe!$B$6*7))+1))</f>
        <v/>
      </c>
      <c r="F289" s="8">
        <f>IF(A289="","",SUMPRODUCT((Eingabe!$B$16:$B$165&lt;&gt;"")*(Eingabe!$J$16:$J$165)*--(A289&gt;=Eingabe!$G$16:$G$165)*--(A289&lt;=Eingabe!$H$16:$H$165)*--(WEEKDAY(A289,2)&lt;=5)))</f>
        <v/>
      </c>
      <c r="G289" s="8">
        <f>IF(A289="","",SUM($F$2:F289))</f>
        <v/>
      </c>
      <c r="H289" s="8">
        <f>IF(A289="","",Eingabe!$B$7-G289)</f>
        <v/>
      </c>
      <c r="I289" s="8">
        <f>IF(A289="","",Eingabe!$B$8-SUMIFS($F$2:F289,$D$2:D289,D289))</f>
        <v/>
      </c>
      <c r="J289" s="8">
        <f>IF(A289="","",IF(E289="",1E+99,IFERROR(VLOOKUP(E289,Eingabe!$D$5:$E$44,2,FALSE),Eingabe!$B$9)))</f>
        <v/>
      </c>
      <c r="K289" s="8">
        <f>IF(A289="","",IF(E289="",1E+99,J289-SUMIFS($F$2:F289,$E$2:E289,E289)))</f>
        <v/>
      </c>
      <c r="L289" s="5">
        <f>IF(A289="","",IF(OR(H289&lt;0,I289&lt;0,K289&lt;0),"UNMOEGLICH","OK"))</f>
        <v/>
      </c>
    </row>
    <row r="290">
      <c r="A290" s="7">
        <f>IF(ROW()-1&lt;=Eingabe!$B$4-Eingabe!$B$3+1,Eingabe!$B$3+ROW()-2,"")</f>
        <v/>
      </c>
      <c r="B290" s="5">
        <f>IF(A290="","",TEXT(A290,"yyyy-mm-dd"))</f>
        <v/>
      </c>
      <c r="C290" s="5">
        <f>IF(A290="","",TEXT(A290,"ddd"))</f>
        <v/>
      </c>
      <c r="D290" s="5">
        <f>IF(A290="","",TEXT(A290,"yyyy-mm"))</f>
        <v/>
      </c>
      <c r="E290" s="5">
        <f>IF(A290="","",IF(A290&lt;Eingabe!$B$5,"",INT((A290-Eingabe!$B$5)/(Eingabe!$B$6*7))+1))</f>
        <v/>
      </c>
      <c r="F290" s="8">
        <f>IF(A290="","",SUMPRODUCT((Eingabe!$B$16:$B$165&lt;&gt;"")*(Eingabe!$J$16:$J$165)*--(A290&gt;=Eingabe!$G$16:$G$165)*--(A290&lt;=Eingabe!$H$16:$H$165)*--(WEEKDAY(A290,2)&lt;=5)))</f>
        <v/>
      </c>
      <c r="G290" s="8">
        <f>IF(A290="","",SUM($F$2:F290))</f>
        <v/>
      </c>
      <c r="H290" s="8">
        <f>IF(A290="","",Eingabe!$B$7-G290)</f>
        <v/>
      </c>
      <c r="I290" s="8">
        <f>IF(A290="","",Eingabe!$B$8-SUMIFS($F$2:F290,$D$2:D290,D290))</f>
        <v/>
      </c>
      <c r="J290" s="8">
        <f>IF(A290="","",IF(E290="",1E+99,IFERROR(VLOOKUP(E290,Eingabe!$D$5:$E$44,2,FALSE),Eingabe!$B$9)))</f>
        <v/>
      </c>
      <c r="K290" s="8">
        <f>IF(A290="","",IF(E290="",1E+99,J290-SUMIFS($F$2:F290,$E$2:E290,E290)))</f>
        <v/>
      </c>
      <c r="L290" s="5">
        <f>IF(A290="","",IF(OR(H290&lt;0,I290&lt;0,K290&lt;0),"UNMOEGLICH","OK"))</f>
        <v/>
      </c>
    </row>
    <row r="291">
      <c r="A291" s="7">
        <f>IF(ROW()-1&lt;=Eingabe!$B$4-Eingabe!$B$3+1,Eingabe!$B$3+ROW()-2,"")</f>
        <v/>
      </c>
      <c r="B291" s="5">
        <f>IF(A291="","",TEXT(A291,"yyyy-mm-dd"))</f>
        <v/>
      </c>
      <c r="C291" s="5">
        <f>IF(A291="","",TEXT(A291,"ddd"))</f>
        <v/>
      </c>
      <c r="D291" s="5">
        <f>IF(A291="","",TEXT(A291,"yyyy-mm"))</f>
        <v/>
      </c>
      <c r="E291" s="5">
        <f>IF(A291="","",IF(A291&lt;Eingabe!$B$5,"",INT((A291-Eingabe!$B$5)/(Eingabe!$B$6*7))+1))</f>
        <v/>
      </c>
      <c r="F291" s="8">
        <f>IF(A291="","",SUMPRODUCT((Eingabe!$B$16:$B$165&lt;&gt;"")*(Eingabe!$J$16:$J$165)*--(A291&gt;=Eingabe!$G$16:$G$165)*--(A291&lt;=Eingabe!$H$16:$H$165)*--(WEEKDAY(A291,2)&lt;=5)))</f>
        <v/>
      </c>
      <c r="G291" s="8">
        <f>IF(A291="","",SUM($F$2:F291))</f>
        <v/>
      </c>
      <c r="H291" s="8">
        <f>IF(A291="","",Eingabe!$B$7-G291)</f>
        <v/>
      </c>
      <c r="I291" s="8">
        <f>IF(A291="","",Eingabe!$B$8-SUMIFS($F$2:F291,$D$2:D291,D291))</f>
        <v/>
      </c>
      <c r="J291" s="8">
        <f>IF(A291="","",IF(E291="",1E+99,IFERROR(VLOOKUP(E291,Eingabe!$D$5:$E$44,2,FALSE),Eingabe!$B$9)))</f>
        <v/>
      </c>
      <c r="K291" s="8">
        <f>IF(A291="","",IF(E291="",1E+99,J291-SUMIFS($F$2:F291,$E$2:E291,E291)))</f>
        <v/>
      </c>
      <c r="L291" s="5">
        <f>IF(A291="","",IF(OR(H291&lt;0,I291&lt;0,K291&lt;0),"UNMOEGLICH","OK"))</f>
        <v/>
      </c>
    </row>
    <row r="292">
      <c r="A292" s="7">
        <f>IF(ROW()-1&lt;=Eingabe!$B$4-Eingabe!$B$3+1,Eingabe!$B$3+ROW()-2,"")</f>
        <v/>
      </c>
      <c r="B292" s="5">
        <f>IF(A292="","",TEXT(A292,"yyyy-mm-dd"))</f>
        <v/>
      </c>
      <c r="C292" s="5">
        <f>IF(A292="","",TEXT(A292,"ddd"))</f>
        <v/>
      </c>
      <c r="D292" s="5">
        <f>IF(A292="","",TEXT(A292,"yyyy-mm"))</f>
        <v/>
      </c>
      <c r="E292" s="5">
        <f>IF(A292="","",IF(A292&lt;Eingabe!$B$5,"",INT((A292-Eingabe!$B$5)/(Eingabe!$B$6*7))+1))</f>
        <v/>
      </c>
      <c r="F292" s="8">
        <f>IF(A292="","",SUMPRODUCT((Eingabe!$B$16:$B$165&lt;&gt;"")*(Eingabe!$J$16:$J$165)*--(A292&gt;=Eingabe!$G$16:$G$165)*--(A292&lt;=Eingabe!$H$16:$H$165)*--(WEEKDAY(A292,2)&lt;=5)))</f>
        <v/>
      </c>
      <c r="G292" s="8">
        <f>IF(A292="","",SUM($F$2:F292))</f>
        <v/>
      </c>
      <c r="H292" s="8">
        <f>IF(A292="","",Eingabe!$B$7-G292)</f>
        <v/>
      </c>
      <c r="I292" s="8">
        <f>IF(A292="","",Eingabe!$B$8-SUMIFS($F$2:F292,$D$2:D292,D292))</f>
        <v/>
      </c>
      <c r="J292" s="8">
        <f>IF(A292="","",IF(E292="",1E+99,IFERROR(VLOOKUP(E292,Eingabe!$D$5:$E$44,2,FALSE),Eingabe!$B$9)))</f>
        <v/>
      </c>
      <c r="K292" s="8">
        <f>IF(A292="","",IF(E292="",1E+99,J292-SUMIFS($F$2:F292,$E$2:E292,E292)))</f>
        <v/>
      </c>
      <c r="L292" s="5">
        <f>IF(A292="","",IF(OR(H292&lt;0,I292&lt;0,K292&lt;0),"UNMOEGLICH","OK"))</f>
        <v/>
      </c>
    </row>
    <row r="293">
      <c r="A293" s="7">
        <f>IF(ROW()-1&lt;=Eingabe!$B$4-Eingabe!$B$3+1,Eingabe!$B$3+ROW()-2,"")</f>
        <v/>
      </c>
      <c r="B293" s="5">
        <f>IF(A293="","",TEXT(A293,"yyyy-mm-dd"))</f>
        <v/>
      </c>
      <c r="C293" s="5">
        <f>IF(A293="","",TEXT(A293,"ddd"))</f>
        <v/>
      </c>
      <c r="D293" s="5">
        <f>IF(A293="","",TEXT(A293,"yyyy-mm"))</f>
        <v/>
      </c>
      <c r="E293" s="5">
        <f>IF(A293="","",IF(A293&lt;Eingabe!$B$5,"",INT((A293-Eingabe!$B$5)/(Eingabe!$B$6*7))+1))</f>
        <v/>
      </c>
      <c r="F293" s="8">
        <f>IF(A293="","",SUMPRODUCT((Eingabe!$B$16:$B$165&lt;&gt;"")*(Eingabe!$J$16:$J$165)*--(A293&gt;=Eingabe!$G$16:$G$165)*--(A293&lt;=Eingabe!$H$16:$H$165)*--(WEEKDAY(A293,2)&lt;=5)))</f>
        <v/>
      </c>
      <c r="G293" s="8">
        <f>IF(A293="","",SUM($F$2:F293))</f>
        <v/>
      </c>
      <c r="H293" s="8">
        <f>IF(A293="","",Eingabe!$B$7-G293)</f>
        <v/>
      </c>
      <c r="I293" s="8">
        <f>IF(A293="","",Eingabe!$B$8-SUMIFS($F$2:F293,$D$2:D293,D293))</f>
        <v/>
      </c>
      <c r="J293" s="8">
        <f>IF(A293="","",IF(E293="",1E+99,IFERROR(VLOOKUP(E293,Eingabe!$D$5:$E$44,2,FALSE),Eingabe!$B$9)))</f>
        <v/>
      </c>
      <c r="K293" s="8">
        <f>IF(A293="","",IF(E293="",1E+99,J293-SUMIFS($F$2:F293,$E$2:E293,E293)))</f>
        <v/>
      </c>
      <c r="L293" s="5">
        <f>IF(A293="","",IF(OR(H293&lt;0,I293&lt;0,K293&lt;0),"UNMOEGLICH","OK"))</f>
        <v/>
      </c>
    </row>
    <row r="294">
      <c r="A294" s="7">
        <f>IF(ROW()-1&lt;=Eingabe!$B$4-Eingabe!$B$3+1,Eingabe!$B$3+ROW()-2,"")</f>
        <v/>
      </c>
      <c r="B294" s="5">
        <f>IF(A294="","",TEXT(A294,"yyyy-mm-dd"))</f>
        <v/>
      </c>
      <c r="C294" s="5">
        <f>IF(A294="","",TEXT(A294,"ddd"))</f>
        <v/>
      </c>
      <c r="D294" s="5">
        <f>IF(A294="","",TEXT(A294,"yyyy-mm"))</f>
        <v/>
      </c>
      <c r="E294" s="5">
        <f>IF(A294="","",IF(A294&lt;Eingabe!$B$5,"",INT((A294-Eingabe!$B$5)/(Eingabe!$B$6*7))+1))</f>
        <v/>
      </c>
      <c r="F294" s="8">
        <f>IF(A294="","",SUMPRODUCT((Eingabe!$B$16:$B$165&lt;&gt;"")*(Eingabe!$J$16:$J$165)*--(A294&gt;=Eingabe!$G$16:$G$165)*--(A294&lt;=Eingabe!$H$16:$H$165)*--(WEEKDAY(A294,2)&lt;=5)))</f>
        <v/>
      </c>
      <c r="G294" s="8">
        <f>IF(A294="","",SUM($F$2:F294))</f>
        <v/>
      </c>
      <c r="H294" s="8">
        <f>IF(A294="","",Eingabe!$B$7-G294)</f>
        <v/>
      </c>
      <c r="I294" s="8">
        <f>IF(A294="","",Eingabe!$B$8-SUMIFS($F$2:F294,$D$2:D294,D294))</f>
        <v/>
      </c>
      <c r="J294" s="8">
        <f>IF(A294="","",IF(E294="",1E+99,IFERROR(VLOOKUP(E294,Eingabe!$D$5:$E$44,2,FALSE),Eingabe!$B$9)))</f>
        <v/>
      </c>
      <c r="K294" s="8">
        <f>IF(A294="","",IF(E294="",1E+99,J294-SUMIFS($F$2:F294,$E$2:E294,E294)))</f>
        <v/>
      </c>
      <c r="L294" s="5">
        <f>IF(A294="","",IF(OR(H294&lt;0,I294&lt;0,K294&lt;0),"UNMOEGLICH","OK"))</f>
        <v/>
      </c>
    </row>
    <row r="295">
      <c r="A295" s="7">
        <f>IF(ROW()-1&lt;=Eingabe!$B$4-Eingabe!$B$3+1,Eingabe!$B$3+ROW()-2,"")</f>
        <v/>
      </c>
      <c r="B295" s="5">
        <f>IF(A295="","",TEXT(A295,"yyyy-mm-dd"))</f>
        <v/>
      </c>
      <c r="C295" s="5">
        <f>IF(A295="","",TEXT(A295,"ddd"))</f>
        <v/>
      </c>
      <c r="D295" s="5">
        <f>IF(A295="","",TEXT(A295,"yyyy-mm"))</f>
        <v/>
      </c>
      <c r="E295" s="5">
        <f>IF(A295="","",IF(A295&lt;Eingabe!$B$5,"",INT((A295-Eingabe!$B$5)/(Eingabe!$B$6*7))+1))</f>
        <v/>
      </c>
      <c r="F295" s="8">
        <f>IF(A295="","",SUMPRODUCT((Eingabe!$B$16:$B$165&lt;&gt;"")*(Eingabe!$J$16:$J$165)*--(A295&gt;=Eingabe!$G$16:$G$165)*--(A295&lt;=Eingabe!$H$16:$H$165)*--(WEEKDAY(A295,2)&lt;=5)))</f>
        <v/>
      </c>
      <c r="G295" s="8">
        <f>IF(A295="","",SUM($F$2:F295))</f>
        <v/>
      </c>
      <c r="H295" s="8">
        <f>IF(A295="","",Eingabe!$B$7-G295)</f>
        <v/>
      </c>
      <c r="I295" s="8">
        <f>IF(A295="","",Eingabe!$B$8-SUMIFS($F$2:F295,$D$2:D295,D295))</f>
        <v/>
      </c>
      <c r="J295" s="8">
        <f>IF(A295="","",IF(E295="",1E+99,IFERROR(VLOOKUP(E295,Eingabe!$D$5:$E$44,2,FALSE),Eingabe!$B$9)))</f>
        <v/>
      </c>
      <c r="K295" s="8">
        <f>IF(A295="","",IF(E295="",1E+99,J295-SUMIFS($F$2:F295,$E$2:E295,E295)))</f>
        <v/>
      </c>
      <c r="L295" s="5">
        <f>IF(A295="","",IF(OR(H295&lt;0,I295&lt;0,K295&lt;0),"UNMOEGLICH","OK"))</f>
        <v/>
      </c>
    </row>
    <row r="296">
      <c r="A296" s="7">
        <f>IF(ROW()-1&lt;=Eingabe!$B$4-Eingabe!$B$3+1,Eingabe!$B$3+ROW()-2,"")</f>
        <v/>
      </c>
      <c r="B296" s="5">
        <f>IF(A296="","",TEXT(A296,"yyyy-mm-dd"))</f>
        <v/>
      </c>
      <c r="C296" s="5">
        <f>IF(A296="","",TEXT(A296,"ddd"))</f>
        <v/>
      </c>
      <c r="D296" s="5">
        <f>IF(A296="","",TEXT(A296,"yyyy-mm"))</f>
        <v/>
      </c>
      <c r="E296" s="5">
        <f>IF(A296="","",IF(A296&lt;Eingabe!$B$5,"",INT((A296-Eingabe!$B$5)/(Eingabe!$B$6*7))+1))</f>
        <v/>
      </c>
      <c r="F296" s="8">
        <f>IF(A296="","",SUMPRODUCT((Eingabe!$B$16:$B$165&lt;&gt;"")*(Eingabe!$J$16:$J$165)*--(A296&gt;=Eingabe!$G$16:$G$165)*--(A296&lt;=Eingabe!$H$16:$H$165)*--(WEEKDAY(A296,2)&lt;=5)))</f>
        <v/>
      </c>
      <c r="G296" s="8">
        <f>IF(A296="","",SUM($F$2:F296))</f>
        <v/>
      </c>
      <c r="H296" s="8">
        <f>IF(A296="","",Eingabe!$B$7-G296)</f>
        <v/>
      </c>
      <c r="I296" s="8">
        <f>IF(A296="","",Eingabe!$B$8-SUMIFS($F$2:F296,$D$2:D296,D296))</f>
        <v/>
      </c>
      <c r="J296" s="8">
        <f>IF(A296="","",IF(E296="",1E+99,IFERROR(VLOOKUP(E296,Eingabe!$D$5:$E$44,2,FALSE),Eingabe!$B$9)))</f>
        <v/>
      </c>
      <c r="K296" s="8">
        <f>IF(A296="","",IF(E296="",1E+99,J296-SUMIFS($F$2:F296,$E$2:E296,E296)))</f>
        <v/>
      </c>
      <c r="L296" s="5">
        <f>IF(A296="","",IF(OR(H296&lt;0,I296&lt;0,K296&lt;0),"UNMOEGLICH","OK"))</f>
        <v/>
      </c>
    </row>
    <row r="297">
      <c r="A297" s="7">
        <f>IF(ROW()-1&lt;=Eingabe!$B$4-Eingabe!$B$3+1,Eingabe!$B$3+ROW()-2,"")</f>
        <v/>
      </c>
      <c r="B297" s="5">
        <f>IF(A297="","",TEXT(A297,"yyyy-mm-dd"))</f>
        <v/>
      </c>
      <c r="C297" s="5">
        <f>IF(A297="","",TEXT(A297,"ddd"))</f>
        <v/>
      </c>
      <c r="D297" s="5">
        <f>IF(A297="","",TEXT(A297,"yyyy-mm"))</f>
        <v/>
      </c>
      <c r="E297" s="5">
        <f>IF(A297="","",IF(A297&lt;Eingabe!$B$5,"",INT((A297-Eingabe!$B$5)/(Eingabe!$B$6*7))+1))</f>
        <v/>
      </c>
      <c r="F297" s="8">
        <f>IF(A297="","",SUMPRODUCT((Eingabe!$B$16:$B$165&lt;&gt;"")*(Eingabe!$J$16:$J$165)*--(A297&gt;=Eingabe!$G$16:$G$165)*--(A297&lt;=Eingabe!$H$16:$H$165)*--(WEEKDAY(A297,2)&lt;=5)))</f>
        <v/>
      </c>
      <c r="G297" s="8">
        <f>IF(A297="","",SUM($F$2:F297))</f>
        <v/>
      </c>
      <c r="H297" s="8">
        <f>IF(A297="","",Eingabe!$B$7-G297)</f>
        <v/>
      </c>
      <c r="I297" s="8">
        <f>IF(A297="","",Eingabe!$B$8-SUMIFS($F$2:F297,$D$2:D297,D297))</f>
        <v/>
      </c>
      <c r="J297" s="8">
        <f>IF(A297="","",IF(E297="",1E+99,IFERROR(VLOOKUP(E297,Eingabe!$D$5:$E$44,2,FALSE),Eingabe!$B$9)))</f>
        <v/>
      </c>
      <c r="K297" s="8">
        <f>IF(A297="","",IF(E297="",1E+99,J297-SUMIFS($F$2:F297,$E$2:E297,E297)))</f>
        <v/>
      </c>
      <c r="L297" s="5">
        <f>IF(A297="","",IF(OR(H297&lt;0,I297&lt;0,K297&lt;0),"UNMOEGLICH","OK"))</f>
        <v/>
      </c>
    </row>
    <row r="298">
      <c r="A298" s="7">
        <f>IF(ROW()-1&lt;=Eingabe!$B$4-Eingabe!$B$3+1,Eingabe!$B$3+ROW()-2,"")</f>
        <v/>
      </c>
      <c r="B298" s="5">
        <f>IF(A298="","",TEXT(A298,"yyyy-mm-dd"))</f>
        <v/>
      </c>
      <c r="C298" s="5">
        <f>IF(A298="","",TEXT(A298,"ddd"))</f>
        <v/>
      </c>
      <c r="D298" s="5">
        <f>IF(A298="","",TEXT(A298,"yyyy-mm"))</f>
        <v/>
      </c>
      <c r="E298" s="5">
        <f>IF(A298="","",IF(A298&lt;Eingabe!$B$5,"",INT((A298-Eingabe!$B$5)/(Eingabe!$B$6*7))+1))</f>
        <v/>
      </c>
      <c r="F298" s="8">
        <f>IF(A298="","",SUMPRODUCT((Eingabe!$B$16:$B$165&lt;&gt;"")*(Eingabe!$J$16:$J$165)*--(A298&gt;=Eingabe!$G$16:$G$165)*--(A298&lt;=Eingabe!$H$16:$H$165)*--(WEEKDAY(A298,2)&lt;=5)))</f>
        <v/>
      </c>
      <c r="G298" s="8">
        <f>IF(A298="","",SUM($F$2:F298))</f>
        <v/>
      </c>
      <c r="H298" s="8">
        <f>IF(A298="","",Eingabe!$B$7-G298)</f>
        <v/>
      </c>
      <c r="I298" s="8">
        <f>IF(A298="","",Eingabe!$B$8-SUMIFS($F$2:F298,$D$2:D298,D298))</f>
        <v/>
      </c>
      <c r="J298" s="8">
        <f>IF(A298="","",IF(E298="",1E+99,IFERROR(VLOOKUP(E298,Eingabe!$D$5:$E$44,2,FALSE),Eingabe!$B$9)))</f>
        <v/>
      </c>
      <c r="K298" s="8">
        <f>IF(A298="","",IF(E298="",1E+99,J298-SUMIFS($F$2:F298,$E$2:E298,E298)))</f>
        <v/>
      </c>
      <c r="L298" s="5">
        <f>IF(A298="","",IF(OR(H298&lt;0,I298&lt;0,K298&lt;0),"UNMOEGLICH","OK"))</f>
        <v/>
      </c>
    </row>
    <row r="299">
      <c r="A299" s="7">
        <f>IF(ROW()-1&lt;=Eingabe!$B$4-Eingabe!$B$3+1,Eingabe!$B$3+ROW()-2,"")</f>
        <v/>
      </c>
      <c r="B299" s="5">
        <f>IF(A299="","",TEXT(A299,"yyyy-mm-dd"))</f>
        <v/>
      </c>
      <c r="C299" s="5">
        <f>IF(A299="","",TEXT(A299,"ddd"))</f>
        <v/>
      </c>
      <c r="D299" s="5">
        <f>IF(A299="","",TEXT(A299,"yyyy-mm"))</f>
        <v/>
      </c>
      <c r="E299" s="5">
        <f>IF(A299="","",IF(A299&lt;Eingabe!$B$5,"",INT((A299-Eingabe!$B$5)/(Eingabe!$B$6*7))+1))</f>
        <v/>
      </c>
      <c r="F299" s="8">
        <f>IF(A299="","",SUMPRODUCT((Eingabe!$B$16:$B$165&lt;&gt;"")*(Eingabe!$J$16:$J$165)*--(A299&gt;=Eingabe!$G$16:$G$165)*--(A299&lt;=Eingabe!$H$16:$H$165)*--(WEEKDAY(A299,2)&lt;=5)))</f>
        <v/>
      </c>
      <c r="G299" s="8">
        <f>IF(A299="","",SUM($F$2:F299))</f>
        <v/>
      </c>
      <c r="H299" s="8">
        <f>IF(A299="","",Eingabe!$B$7-G299)</f>
        <v/>
      </c>
      <c r="I299" s="8">
        <f>IF(A299="","",Eingabe!$B$8-SUMIFS($F$2:F299,$D$2:D299,D299))</f>
        <v/>
      </c>
      <c r="J299" s="8">
        <f>IF(A299="","",IF(E299="",1E+99,IFERROR(VLOOKUP(E299,Eingabe!$D$5:$E$44,2,FALSE),Eingabe!$B$9)))</f>
        <v/>
      </c>
      <c r="K299" s="8">
        <f>IF(A299="","",IF(E299="",1E+99,J299-SUMIFS($F$2:F299,$E$2:E299,E299)))</f>
        <v/>
      </c>
      <c r="L299" s="5">
        <f>IF(A299="","",IF(OR(H299&lt;0,I299&lt;0,K299&lt;0),"UNMOEGLICH","OK"))</f>
        <v/>
      </c>
    </row>
    <row r="300">
      <c r="A300" s="7">
        <f>IF(ROW()-1&lt;=Eingabe!$B$4-Eingabe!$B$3+1,Eingabe!$B$3+ROW()-2,"")</f>
        <v/>
      </c>
      <c r="B300" s="5">
        <f>IF(A300="","",TEXT(A300,"yyyy-mm-dd"))</f>
        <v/>
      </c>
      <c r="C300" s="5">
        <f>IF(A300="","",TEXT(A300,"ddd"))</f>
        <v/>
      </c>
      <c r="D300" s="5">
        <f>IF(A300="","",TEXT(A300,"yyyy-mm"))</f>
        <v/>
      </c>
      <c r="E300" s="5">
        <f>IF(A300="","",IF(A300&lt;Eingabe!$B$5,"",INT((A300-Eingabe!$B$5)/(Eingabe!$B$6*7))+1))</f>
        <v/>
      </c>
      <c r="F300" s="8">
        <f>IF(A300="","",SUMPRODUCT((Eingabe!$B$16:$B$165&lt;&gt;"")*(Eingabe!$J$16:$J$165)*--(A300&gt;=Eingabe!$G$16:$G$165)*--(A300&lt;=Eingabe!$H$16:$H$165)*--(WEEKDAY(A300,2)&lt;=5)))</f>
        <v/>
      </c>
      <c r="G300" s="8">
        <f>IF(A300="","",SUM($F$2:F300))</f>
        <v/>
      </c>
      <c r="H300" s="8">
        <f>IF(A300="","",Eingabe!$B$7-G300)</f>
        <v/>
      </c>
      <c r="I300" s="8">
        <f>IF(A300="","",Eingabe!$B$8-SUMIFS($F$2:F300,$D$2:D300,D300))</f>
        <v/>
      </c>
      <c r="J300" s="8">
        <f>IF(A300="","",IF(E300="",1E+99,IFERROR(VLOOKUP(E300,Eingabe!$D$5:$E$44,2,FALSE),Eingabe!$B$9)))</f>
        <v/>
      </c>
      <c r="K300" s="8">
        <f>IF(A300="","",IF(E300="",1E+99,J300-SUMIFS($F$2:F300,$E$2:E300,E300)))</f>
        <v/>
      </c>
      <c r="L300" s="5">
        <f>IF(A300="","",IF(OR(H300&lt;0,I300&lt;0,K300&lt;0),"UNMOEGLICH","OK"))</f>
        <v/>
      </c>
    </row>
    <row r="301">
      <c r="A301" s="7">
        <f>IF(ROW()-1&lt;=Eingabe!$B$4-Eingabe!$B$3+1,Eingabe!$B$3+ROW()-2,"")</f>
        <v/>
      </c>
      <c r="B301" s="5">
        <f>IF(A301="","",TEXT(A301,"yyyy-mm-dd"))</f>
        <v/>
      </c>
      <c r="C301" s="5">
        <f>IF(A301="","",TEXT(A301,"ddd"))</f>
        <v/>
      </c>
      <c r="D301" s="5">
        <f>IF(A301="","",TEXT(A301,"yyyy-mm"))</f>
        <v/>
      </c>
      <c r="E301" s="5">
        <f>IF(A301="","",IF(A301&lt;Eingabe!$B$5,"",INT((A301-Eingabe!$B$5)/(Eingabe!$B$6*7))+1))</f>
        <v/>
      </c>
      <c r="F301" s="8">
        <f>IF(A301="","",SUMPRODUCT((Eingabe!$B$16:$B$165&lt;&gt;"")*(Eingabe!$J$16:$J$165)*--(A301&gt;=Eingabe!$G$16:$G$165)*--(A301&lt;=Eingabe!$H$16:$H$165)*--(WEEKDAY(A301,2)&lt;=5)))</f>
        <v/>
      </c>
      <c r="G301" s="8">
        <f>IF(A301="","",SUM($F$2:F301))</f>
        <v/>
      </c>
      <c r="H301" s="8">
        <f>IF(A301="","",Eingabe!$B$7-G301)</f>
        <v/>
      </c>
      <c r="I301" s="8">
        <f>IF(A301="","",Eingabe!$B$8-SUMIFS($F$2:F301,$D$2:D301,D301))</f>
        <v/>
      </c>
      <c r="J301" s="8">
        <f>IF(A301="","",IF(E301="",1E+99,IFERROR(VLOOKUP(E301,Eingabe!$D$5:$E$44,2,FALSE),Eingabe!$B$9)))</f>
        <v/>
      </c>
      <c r="K301" s="8">
        <f>IF(A301="","",IF(E301="",1E+99,J301-SUMIFS($F$2:F301,$E$2:E301,E301)))</f>
        <v/>
      </c>
      <c r="L301" s="5">
        <f>IF(A301="","",IF(OR(H301&lt;0,I301&lt;0,K301&lt;0),"UNMOEGLICH","OK"))</f>
        <v/>
      </c>
    </row>
    <row r="302">
      <c r="A302" s="7">
        <f>IF(ROW()-1&lt;=Eingabe!$B$4-Eingabe!$B$3+1,Eingabe!$B$3+ROW()-2,"")</f>
        <v/>
      </c>
      <c r="B302" s="5">
        <f>IF(A302="","",TEXT(A302,"yyyy-mm-dd"))</f>
        <v/>
      </c>
      <c r="C302" s="5">
        <f>IF(A302="","",TEXT(A302,"ddd"))</f>
        <v/>
      </c>
      <c r="D302" s="5">
        <f>IF(A302="","",TEXT(A302,"yyyy-mm"))</f>
        <v/>
      </c>
      <c r="E302" s="5">
        <f>IF(A302="","",IF(A302&lt;Eingabe!$B$5,"",INT((A302-Eingabe!$B$5)/(Eingabe!$B$6*7))+1))</f>
        <v/>
      </c>
      <c r="F302" s="8">
        <f>IF(A302="","",SUMPRODUCT((Eingabe!$B$16:$B$165&lt;&gt;"")*(Eingabe!$J$16:$J$165)*--(A302&gt;=Eingabe!$G$16:$G$165)*--(A302&lt;=Eingabe!$H$16:$H$165)*--(WEEKDAY(A302,2)&lt;=5)))</f>
        <v/>
      </c>
      <c r="G302" s="8">
        <f>IF(A302="","",SUM($F$2:F302))</f>
        <v/>
      </c>
      <c r="H302" s="8">
        <f>IF(A302="","",Eingabe!$B$7-G302)</f>
        <v/>
      </c>
      <c r="I302" s="8">
        <f>IF(A302="","",Eingabe!$B$8-SUMIFS($F$2:F302,$D$2:D302,D302))</f>
        <v/>
      </c>
      <c r="J302" s="8">
        <f>IF(A302="","",IF(E302="",1E+99,IFERROR(VLOOKUP(E302,Eingabe!$D$5:$E$44,2,FALSE),Eingabe!$B$9)))</f>
        <v/>
      </c>
      <c r="K302" s="8">
        <f>IF(A302="","",IF(E302="",1E+99,J302-SUMIFS($F$2:F302,$E$2:E302,E302)))</f>
        <v/>
      </c>
      <c r="L302" s="5">
        <f>IF(A302="","",IF(OR(H302&lt;0,I302&lt;0,K302&lt;0),"UNMOEGLICH","OK"))</f>
        <v/>
      </c>
    </row>
    <row r="303">
      <c r="A303" s="7">
        <f>IF(ROW()-1&lt;=Eingabe!$B$4-Eingabe!$B$3+1,Eingabe!$B$3+ROW()-2,"")</f>
        <v/>
      </c>
      <c r="B303" s="5">
        <f>IF(A303="","",TEXT(A303,"yyyy-mm-dd"))</f>
        <v/>
      </c>
      <c r="C303" s="5">
        <f>IF(A303="","",TEXT(A303,"ddd"))</f>
        <v/>
      </c>
      <c r="D303" s="5">
        <f>IF(A303="","",TEXT(A303,"yyyy-mm"))</f>
        <v/>
      </c>
      <c r="E303" s="5">
        <f>IF(A303="","",IF(A303&lt;Eingabe!$B$5,"",INT((A303-Eingabe!$B$5)/(Eingabe!$B$6*7))+1))</f>
        <v/>
      </c>
      <c r="F303" s="8">
        <f>IF(A303="","",SUMPRODUCT((Eingabe!$B$16:$B$165&lt;&gt;"")*(Eingabe!$J$16:$J$165)*--(A303&gt;=Eingabe!$G$16:$G$165)*--(A303&lt;=Eingabe!$H$16:$H$165)*--(WEEKDAY(A303,2)&lt;=5)))</f>
        <v/>
      </c>
      <c r="G303" s="8">
        <f>IF(A303="","",SUM($F$2:F303))</f>
        <v/>
      </c>
      <c r="H303" s="8">
        <f>IF(A303="","",Eingabe!$B$7-G303)</f>
        <v/>
      </c>
      <c r="I303" s="8">
        <f>IF(A303="","",Eingabe!$B$8-SUMIFS($F$2:F303,$D$2:D303,D303))</f>
        <v/>
      </c>
      <c r="J303" s="8">
        <f>IF(A303="","",IF(E303="",1E+99,IFERROR(VLOOKUP(E303,Eingabe!$D$5:$E$44,2,FALSE),Eingabe!$B$9)))</f>
        <v/>
      </c>
      <c r="K303" s="8">
        <f>IF(A303="","",IF(E303="",1E+99,J303-SUMIFS($F$2:F303,$E$2:E303,E303)))</f>
        <v/>
      </c>
      <c r="L303" s="5">
        <f>IF(A303="","",IF(OR(H303&lt;0,I303&lt;0,K303&lt;0),"UNMOEGLICH","OK"))</f>
        <v/>
      </c>
    </row>
    <row r="304">
      <c r="A304" s="7">
        <f>IF(ROW()-1&lt;=Eingabe!$B$4-Eingabe!$B$3+1,Eingabe!$B$3+ROW()-2,"")</f>
        <v/>
      </c>
      <c r="B304" s="5">
        <f>IF(A304="","",TEXT(A304,"yyyy-mm-dd"))</f>
        <v/>
      </c>
      <c r="C304" s="5">
        <f>IF(A304="","",TEXT(A304,"ddd"))</f>
        <v/>
      </c>
      <c r="D304" s="5">
        <f>IF(A304="","",TEXT(A304,"yyyy-mm"))</f>
        <v/>
      </c>
      <c r="E304" s="5">
        <f>IF(A304="","",IF(A304&lt;Eingabe!$B$5,"",INT((A304-Eingabe!$B$5)/(Eingabe!$B$6*7))+1))</f>
        <v/>
      </c>
      <c r="F304" s="8">
        <f>IF(A304="","",SUMPRODUCT((Eingabe!$B$16:$B$165&lt;&gt;"")*(Eingabe!$J$16:$J$165)*--(A304&gt;=Eingabe!$G$16:$G$165)*--(A304&lt;=Eingabe!$H$16:$H$165)*--(WEEKDAY(A304,2)&lt;=5)))</f>
        <v/>
      </c>
      <c r="G304" s="8">
        <f>IF(A304="","",SUM($F$2:F304))</f>
        <v/>
      </c>
      <c r="H304" s="8">
        <f>IF(A304="","",Eingabe!$B$7-G304)</f>
        <v/>
      </c>
      <c r="I304" s="8">
        <f>IF(A304="","",Eingabe!$B$8-SUMIFS($F$2:F304,$D$2:D304,D304))</f>
        <v/>
      </c>
      <c r="J304" s="8">
        <f>IF(A304="","",IF(E304="",1E+99,IFERROR(VLOOKUP(E304,Eingabe!$D$5:$E$44,2,FALSE),Eingabe!$B$9)))</f>
        <v/>
      </c>
      <c r="K304" s="8">
        <f>IF(A304="","",IF(E304="",1E+99,J304-SUMIFS($F$2:F304,$E$2:E304,E304)))</f>
        <v/>
      </c>
      <c r="L304" s="5">
        <f>IF(A304="","",IF(OR(H304&lt;0,I304&lt;0,K304&lt;0),"UNMOEGLICH","OK"))</f>
        <v/>
      </c>
    </row>
    <row r="305">
      <c r="A305" s="7">
        <f>IF(ROW()-1&lt;=Eingabe!$B$4-Eingabe!$B$3+1,Eingabe!$B$3+ROW()-2,"")</f>
        <v/>
      </c>
      <c r="B305" s="5">
        <f>IF(A305="","",TEXT(A305,"yyyy-mm-dd"))</f>
        <v/>
      </c>
      <c r="C305" s="5">
        <f>IF(A305="","",TEXT(A305,"ddd"))</f>
        <v/>
      </c>
      <c r="D305" s="5">
        <f>IF(A305="","",TEXT(A305,"yyyy-mm"))</f>
        <v/>
      </c>
      <c r="E305" s="5">
        <f>IF(A305="","",IF(A305&lt;Eingabe!$B$5,"",INT((A305-Eingabe!$B$5)/(Eingabe!$B$6*7))+1))</f>
        <v/>
      </c>
      <c r="F305" s="8">
        <f>IF(A305="","",SUMPRODUCT((Eingabe!$B$16:$B$165&lt;&gt;"")*(Eingabe!$J$16:$J$165)*--(A305&gt;=Eingabe!$G$16:$G$165)*--(A305&lt;=Eingabe!$H$16:$H$165)*--(WEEKDAY(A305,2)&lt;=5)))</f>
        <v/>
      </c>
      <c r="G305" s="8">
        <f>IF(A305="","",SUM($F$2:F305))</f>
        <v/>
      </c>
      <c r="H305" s="8">
        <f>IF(A305="","",Eingabe!$B$7-G305)</f>
        <v/>
      </c>
      <c r="I305" s="8">
        <f>IF(A305="","",Eingabe!$B$8-SUMIFS($F$2:F305,$D$2:D305,D305))</f>
        <v/>
      </c>
      <c r="J305" s="8">
        <f>IF(A305="","",IF(E305="",1E+99,IFERROR(VLOOKUP(E305,Eingabe!$D$5:$E$44,2,FALSE),Eingabe!$B$9)))</f>
        <v/>
      </c>
      <c r="K305" s="8">
        <f>IF(A305="","",IF(E305="",1E+99,J305-SUMIFS($F$2:F305,$E$2:E305,E305)))</f>
        <v/>
      </c>
      <c r="L305" s="5">
        <f>IF(A305="","",IF(OR(H305&lt;0,I305&lt;0,K305&lt;0),"UNMOEGLICH","OK"))</f>
        <v/>
      </c>
    </row>
    <row r="306">
      <c r="A306" s="7">
        <f>IF(ROW()-1&lt;=Eingabe!$B$4-Eingabe!$B$3+1,Eingabe!$B$3+ROW()-2,"")</f>
        <v/>
      </c>
      <c r="B306" s="5">
        <f>IF(A306="","",TEXT(A306,"yyyy-mm-dd"))</f>
        <v/>
      </c>
      <c r="C306" s="5">
        <f>IF(A306="","",TEXT(A306,"ddd"))</f>
        <v/>
      </c>
      <c r="D306" s="5">
        <f>IF(A306="","",TEXT(A306,"yyyy-mm"))</f>
        <v/>
      </c>
      <c r="E306" s="5">
        <f>IF(A306="","",IF(A306&lt;Eingabe!$B$5,"",INT((A306-Eingabe!$B$5)/(Eingabe!$B$6*7))+1))</f>
        <v/>
      </c>
      <c r="F306" s="8">
        <f>IF(A306="","",SUMPRODUCT((Eingabe!$B$16:$B$165&lt;&gt;"")*(Eingabe!$J$16:$J$165)*--(A306&gt;=Eingabe!$G$16:$G$165)*--(A306&lt;=Eingabe!$H$16:$H$165)*--(WEEKDAY(A306,2)&lt;=5)))</f>
        <v/>
      </c>
      <c r="G306" s="8">
        <f>IF(A306="","",SUM($F$2:F306))</f>
        <v/>
      </c>
      <c r="H306" s="8">
        <f>IF(A306="","",Eingabe!$B$7-G306)</f>
        <v/>
      </c>
      <c r="I306" s="8">
        <f>IF(A306="","",Eingabe!$B$8-SUMIFS($F$2:F306,$D$2:D306,D306))</f>
        <v/>
      </c>
      <c r="J306" s="8">
        <f>IF(A306="","",IF(E306="",1E+99,IFERROR(VLOOKUP(E306,Eingabe!$D$5:$E$44,2,FALSE),Eingabe!$B$9)))</f>
        <v/>
      </c>
      <c r="K306" s="8">
        <f>IF(A306="","",IF(E306="",1E+99,J306-SUMIFS($F$2:F306,$E$2:E306,E306)))</f>
        <v/>
      </c>
      <c r="L306" s="5">
        <f>IF(A306="","",IF(OR(H306&lt;0,I306&lt;0,K306&lt;0),"UNMOEGLICH","OK"))</f>
        <v/>
      </c>
    </row>
    <row r="307">
      <c r="A307" s="7">
        <f>IF(ROW()-1&lt;=Eingabe!$B$4-Eingabe!$B$3+1,Eingabe!$B$3+ROW()-2,"")</f>
        <v/>
      </c>
      <c r="B307" s="5">
        <f>IF(A307="","",TEXT(A307,"yyyy-mm-dd"))</f>
        <v/>
      </c>
      <c r="C307" s="5">
        <f>IF(A307="","",TEXT(A307,"ddd"))</f>
        <v/>
      </c>
      <c r="D307" s="5">
        <f>IF(A307="","",TEXT(A307,"yyyy-mm"))</f>
        <v/>
      </c>
      <c r="E307" s="5">
        <f>IF(A307="","",IF(A307&lt;Eingabe!$B$5,"",INT((A307-Eingabe!$B$5)/(Eingabe!$B$6*7))+1))</f>
        <v/>
      </c>
      <c r="F307" s="8">
        <f>IF(A307="","",SUMPRODUCT((Eingabe!$B$16:$B$165&lt;&gt;"")*(Eingabe!$J$16:$J$165)*--(A307&gt;=Eingabe!$G$16:$G$165)*--(A307&lt;=Eingabe!$H$16:$H$165)*--(WEEKDAY(A307,2)&lt;=5)))</f>
        <v/>
      </c>
      <c r="G307" s="8">
        <f>IF(A307="","",SUM($F$2:F307))</f>
        <v/>
      </c>
      <c r="H307" s="8">
        <f>IF(A307="","",Eingabe!$B$7-G307)</f>
        <v/>
      </c>
      <c r="I307" s="8">
        <f>IF(A307="","",Eingabe!$B$8-SUMIFS($F$2:F307,$D$2:D307,D307))</f>
        <v/>
      </c>
      <c r="J307" s="8">
        <f>IF(A307="","",IF(E307="",1E+99,IFERROR(VLOOKUP(E307,Eingabe!$D$5:$E$44,2,FALSE),Eingabe!$B$9)))</f>
        <v/>
      </c>
      <c r="K307" s="8">
        <f>IF(A307="","",IF(E307="",1E+99,J307-SUMIFS($F$2:F307,$E$2:E307,E307)))</f>
        <v/>
      </c>
      <c r="L307" s="5">
        <f>IF(A307="","",IF(OR(H307&lt;0,I307&lt;0,K307&lt;0),"UNMOEGLICH","OK"))</f>
        <v/>
      </c>
    </row>
    <row r="308">
      <c r="A308" s="7">
        <f>IF(ROW()-1&lt;=Eingabe!$B$4-Eingabe!$B$3+1,Eingabe!$B$3+ROW()-2,"")</f>
        <v/>
      </c>
      <c r="B308" s="5">
        <f>IF(A308="","",TEXT(A308,"yyyy-mm-dd"))</f>
        <v/>
      </c>
      <c r="C308" s="5">
        <f>IF(A308="","",TEXT(A308,"ddd"))</f>
        <v/>
      </c>
      <c r="D308" s="5">
        <f>IF(A308="","",TEXT(A308,"yyyy-mm"))</f>
        <v/>
      </c>
      <c r="E308" s="5">
        <f>IF(A308="","",IF(A308&lt;Eingabe!$B$5,"",INT((A308-Eingabe!$B$5)/(Eingabe!$B$6*7))+1))</f>
        <v/>
      </c>
      <c r="F308" s="8">
        <f>IF(A308="","",SUMPRODUCT((Eingabe!$B$16:$B$165&lt;&gt;"")*(Eingabe!$J$16:$J$165)*--(A308&gt;=Eingabe!$G$16:$G$165)*--(A308&lt;=Eingabe!$H$16:$H$165)*--(WEEKDAY(A308,2)&lt;=5)))</f>
        <v/>
      </c>
      <c r="G308" s="8">
        <f>IF(A308="","",SUM($F$2:F308))</f>
        <v/>
      </c>
      <c r="H308" s="8">
        <f>IF(A308="","",Eingabe!$B$7-G308)</f>
        <v/>
      </c>
      <c r="I308" s="8">
        <f>IF(A308="","",Eingabe!$B$8-SUMIFS($F$2:F308,$D$2:D308,D308))</f>
        <v/>
      </c>
      <c r="J308" s="8">
        <f>IF(A308="","",IF(E308="",1E+99,IFERROR(VLOOKUP(E308,Eingabe!$D$5:$E$44,2,FALSE),Eingabe!$B$9)))</f>
        <v/>
      </c>
      <c r="K308" s="8">
        <f>IF(A308="","",IF(E308="",1E+99,J308-SUMIFS($F$2:F308,$E$2:E308,E308)))</f>
        <v/>
      </c>
      <c r="L308" s="5">
        <f>IF(A308="","",IF(OR(H308&lt;0,I308&lt;0,K308&lt;0),"UNMOEGLICH","OK"))</f>
        <v/>
      </c>
    </row>
    <row r="309">
      <c r="A309" s="7">
        <f>IF(ROW()-1&lt;=Eingabe!$B$4-Eingabe!$B$3+1,Eingabe!$B$3+ROW()-2,"")</f>
        <v/>
      </c>
      <c r="B309" s="5">
        <f>IF(A309="","",TEXT(A309,"yyyy-mm-dd"))</f>
        <v/>
      </c>
      <c r="C309" s="5">
        <f>IF(A309="","",TEXT(A309,"ddd"))</f>
        <v/>
      </c>
      <c r="D309" s="5">
        <f>IF(A309="","",TEXT(A309,"yyyy-mm"))</f>
        <v/>
      </c>
      <c r="E309" s="5">
        <f>IF(A309="","",IF(A309&lt;Eingabe!$B$5,"",INT((A309-Eingabe!$B$5)/(Eingabe!$B$6*7))+1))</f>
        <v/>
      </c>
      <c r="F309" s="8">
        <f>IF(A309="","",SUMPRODUCT((Eingabe!$B$16:$B$165&lt;&gt;"")*(Eingabe!$J$16:$J$165)*--(A309&gt;=Eingabe!$G$16:$G$165)*--(A309&lt;=Eingabe!$H$16:$H$165)*--(WEEKDAY(A309,2)&lt;=5)))</f>
        <v/>
      </c>
      <c r="G309" s="8">
        <f>IF(A309="","",SUM($F$2:F309))</f>
        <v/>
      </c>
      <c r="H309" s="8">
        <f>IF(A309="","",Eingabe!$B$7-G309)</f>
        <v/>
      </c>
      <c r="I309" s="8">
        <f>IF(A309="","",Eingabe!$B$8-SUMIFS($F$2:F309,$D$2:D309,D309))</f>
        <v/>
      </c>
      <c r="J309" s="8">
        <f>IF(A309="","",IF(E309="",1E+99,IFERROR(VLOOKUP(E309,Eingabe!$D$5:$E$44,2,FALSE),Eingabe!$B$9)))</f>
        <v/>
      </c>
      <c r="K309" s="8">
        <f>IF(A309="","",IF(E309="",1E+99,J309-SUMIFS($F$2:F309,$E$2:E309,E309)))</f>
        <v/>
      </c>
      <c r="L309" s="5">
        <f>IF(A309="","",IF(OR(H309&lt;0,I309&lt;0,K309&lt;0),"UNMOEGLICH","OK"))</f>
        <v/>
      </c>
    </row>
    <row r="310">
      <c r="A310" s="7">
        <f>IF(ROW()-1&lt;=Eingabe!$B$4-Eingabe!$B$3+1,Eingabe!$B$3+ROW()-2,"")</f>
        <v/>
      </c>
      <c r="B310" s="5">
        <f>IF(A310="","",TEXT(A310,"yyyy-mm-dd"))</f>
        <v/>
      </c>
      <c r="C310" s="5">
        <f>IF(A310="","",TEXT(A310,"ddd"))</f>
        <v/>
      </c>
      <c r="D310" s="5">
        <f>IF(A310="","",TEXT(A310,"yyyy-mm"))</f>
        <v/>
      </c>
      <c r="E310" s="5">
        <f>IF(A310="","",IF(A310&lt;Eingabe!$B$5,"",INT((A310-Eingabe!$B$5)/(Eingabe!$B$6*7))+1))</f>
        <v/>
      </c>
      <c r="F310" s="8">
        <f>IF(A310="","",SUMPRODUCT((Eingabe!$B$16:$B$165&lt;&gt;"")*(Eingabe!$J$16:$J$165)*--(A310&gt;=Eingabe!$G$16:$G$165)*--(A310&lt;=Eingabe!$H$16:$H$165)*--(WEEKDAY(A310,2)&lt;=5)))</f>
        <v/>
      </c>
      <c r="G310" s="8">
        <f>IF(A310="","",SUM($F$2:F310))</f>
        <v/>
      </c>
      <c r="H310" s="8">
        <f>IF(A310="","",Eingabe!$B$7-G310)</f>
        <v/>
      </c>
      <c r="I310" s="8">
        <f>IF(A310="","",Eingabe!$B$8-SUMIFS($F$2:F310,$D$2:D310,D310))</f>
        <v/>
      </c>
      <c r="J310" s="8">
        <f>IF(A310="","",IF(E310="",1E+99,IFERROR(VLOOKUP(E310,Eingabe!$D$5:$E$44,2,FALSE),Eingabe!$B$9)))</f>
        <v/>
      </c>
      <c r="K310" s="8">
        <f>IF(A310="","",IF(E310="",1E+99,J310-SUMIFS($F$2:F310,$E$2:E310,E310)))</f>
        <v/>
      </c>
      <c r="L310" s="5">
        <f>IF(A310="","",IF(OR(H310&lt;0,I310&lt;0,K310&lt;0),"UNMOEGLICH","OK"))</f>
        <v/>
      </c>
    </row>
    <row r="311">
      <c r="A311" s="7">
        <f>IF(ROW()-1&lt;=Eingabe!$B$4-Eingabe!$B$3+1,Eingabe!$B$3+ROW()-2,"")</f>
        <v/>
      </c>
      <c r="B311" s="5">
        <f>IF(A311="","",TEXT(A311,"yyyy-mm-dd"))</f>
        <v/>
      </c>
      <c r="C311" s="5">
        <f>IF(A311="","",TEXT(A311,"ddd"))</f>
        <v/>
      </c>
      <c r="D311" s="5">
        <f>IF(A311="","",TEXT(A311,"yyyy-mm"))</f>
        <v/>
      </c>
      <c r="E311" s="5">
        <f>IF(A311="","",IF(A311&lt;Eingabe!$B$5,"",INT((A311-Eingabe!$B$5)/(Eingabe!$B$6*7))+1))</f>
        <v/>
      </c>
      <c r="F311" s="8">
        <f>IF(A311="","",SUMPRODUCT((Eingabe!$B$16:$B$165&lt;&gt;"")*(Eingabe!$J$16:$J$165)*--(A311&gt;=Eingabe!$G$16:$G$165)*--(A311&lt;=Eingabe!$H$16:$H$165)*--(WEEKDAY(A311,2)&lt;=5)))</f>
        <v/>
      </c>
      <c r="G311" s="8">
        <f>IF(A311="","",SUM($F$2:F311))</f>
        <v/>
      </c>
      <c r="H311" s="8">
        <f>IF(A311="","",Eingabe!$B$7-G311)</f>
        <v/>
      </c>
      <c r="I311" s="8">
        <f>IF(A311="","",Eingabe!$B$8-SUMIFS($F$2:F311,$D$2:D311,D311))</f>
        <v/>
      </c>
      <c r="J311" s="8">
        <f>IF(A311="","",IF(E311="",1E+99,IFERROR(VLOOKUP(E311,Eingabe!$D$5:$E$44,2,FALSE),Eingabe!$B$9)))</f>
        <v/>
      </c>
      <c r="K311" s="8">
        <f>IF(A311="","",IF(E311="",1E+99,J311-SUMIFS($F$2:F311,$E$2:E311,E311)))</f>
        <v/>
      </c>
      <c r="L311" s="5">
        <f>IF(A311="","",IF(OR(H311&lt;0,I311&lt;0,K311&lt;0),"UNMOEGLICH","OK"))</f>
        <v/>
      </c>
    </row>
    <row r="312">
      <c r="A312" s="7">
        <f>IF(ROW()-1&lt;=Eingabe!$B$4-Eingabe!$B$3+1,Eingabe!$B$3+ROW()-2,"")</f>
        <v/>
      </c>
      <c r="B312" s="5">
        <f>IF(A312="","",TEXT(A312,"yyyy-mm-dd"))</f>
        <v/>
      </c>
      <c r="C312" s="5">
        <f>IF(A312="","",TEXT(A312,"ddd"))</f>
        <v/>
      </c>
      <c r="D312" s="5">
        <f>IF(A312="","",TEXT(A312,"yyyy-mm"))</f>
        <v/>
      </c>
      <c r="E312" s="5">
        <f>IF(A312="","",IF(A312&lt;Eingabe!$B$5,"",INT((A312-Eingabe!$B$5)/(Eingabe!$B$6*7))+1))</f>
        <v/>
      </c>
      <c r="F312" s="8">
        <f>IF(A312="","",SUMPRODUCT((Eingabe!$B$16:$B$165&lt;&gt;"")*(Eingabe!$J$16:$J$165)*--(A312&gt;=Eingabe!$G$16:$G$165)*--(A312&lt;=Eingabe!$H$16:$H$165)*--(WEEKDAY(A312,2)&lt;=5)))</f>
        <v/>
      </c>
      <c r="G312" s="8">
        <f>IF(A312="","",SUM($F$2:F312))</f>
        <v/>
      </c>
      <c r="H312" s="8">
        <f>IF(A312="","",Eingabe!$B$7-G312)</f>
        <v/>
      </c>
      <c r="I312" s="8">
        <f>IF(A312="","",Eingabe!$B$8-SUMIFS($F$2:F312,$D$2:D312,D312))</f>
        <v/>
      </c>
      <c r="J312" s="8">
        <f>IF(A312="","",IF(E312="",1E+99,IFERROR(VLOOKUP(E312,Eingabe!$D$5:$E$44,2,FALSE),Eingabe!$B$9)))</f>
        <v/>
      </c>
      <c r="K312" s="8">
        <f>IF(A312="","",IF(E312="",1E+99,J312-SUMIFS($F$2:F312,$E$2:E312,E312)))</f>
        <v/>
      </c>
      <c r="L312" s="5">
        <f>IF(A312="","",IF(OR(H312&lt;0,I312&lt;0,K312&lt;0),"UNMOEGLICH","OK"))</f>
        <v/>
      </c>
    </row>
    <row r="313">
      <c r="A313" s="7">
        <f>IF(ROW()-1&lt;=Eingabe!$B$4-Eingabe!$B$3+1,Eingabe!$B$3+ROW()-2,"")</f>
        <v/>
      </c>
      <c r="B313" s="5">
        <f>IF(A313="","",TEXT(A313,"yyyy-mm-dd"))</f>
        <v/>
      </c>
      <c r="C313" s="5">
        <f>IF(A313="","",TEXT(A313,"ddd"))</f>
        <v/>
      </c>
      <c r="D313" s="5">
        <f>IF(A313="","",TEXT(A313,"yyyy-mm"))</f>
        <v/>
      </c>
      <c r="E313" s="5">
        <f>IF(A313="","",IF(A313&lt;Eingabe!$B$5,"",INT((A313-Eingabe!$B$5)/(Eingabe!$B$6*7))+1))</f>
        <v/>
      </c>
      <c r="F313" s="8">
        <f>IF(A313="","",SUMPRODUCT((Eingabe!$B$16:$B$165&lt;&gt;"")*(Eingabe!$J$16:$J$165)*--(A313&gt;=Eingabe!$G$16:$G$165)*--(A313&lt;=Eingabe!$H$16:$H$165)*--(WEEKDAY(A313,2)&lt;=5)))</f>
        <v/>
      </c>
      <c r="G313" s="8">
        <f>IF(A313="","",SUM($F$2:F313))</f>
        <v/>
      </c>
      <c r="H313" s="8">
        <f>IF(A313="","",Eingabe!$B$7-G313)</f>
        <v/>
      </c>
      <c r="I313" s="8">
        <f>IF(A313="","",Eingabe!$B$8-SUMIFS($F$2:F313,$D$2:D313,D313))</f>
        <v/>
      </c>
      <c r="J313" s="8">
        <f>IF(A313="","",IF(E313="",1E+99,IFERROR(VLOOKUP(E313,Eingabe!$D$5:$E$44,2,FALSE),Eingabe!$B$9)))</f>
        <v/>
      </c>
      <c r="K313" s="8">
        <f>IF(A313="","",IF(E313="",1E+99,J313-SUMIFS($F$2:F313,$E$2:E313,E313)))</f>
        <v/>
      </c>
      <c r="L313" s="5">
        <f>IF(A313="","",IF(OR(H313&lt;0,I313&lt;0,K313&lt;0),"UNMOEGLICH","OK"))</f>
        <v/>
      </c>
    </row>
    <row r="314">
      <c r="A314" s="7">
        <f>IF(ROW()-1&lt;=Eingabe!$B$4-Eingabe!$B$3+1,Eingabe!$B$3+ROW()-2,"")</f>
        <v/>
      </c>
      <c r="B314" s="5">
        <f>IF(A314="","",TEXT(A314,"yyyy-mm-dd"))</f>
        <v/>
      </c>
      <c r="C314" s="5">
        <f>IF(A314="","",TEXT(A314,"ddd"))</f>
        <v/>
      </c>
      <c r="D314" s="5">
        <f>IF(A314="","",TEXT(A314,"yyyy-mm"))</f>
        <v/>
      </c>
      <c r="E314" s="5">
        <f>IF(A314="","",IF(A314&lt;Eingabe!$B$5,"",INT((A314-Eingabe!$B$5)/(Eingabe!$B$6*7))+1))</f>
        <v/>
      </c>
      <c r="F314" s="8">
        <f>IF(A314="","",SUMPRODUCT((Eingabe!$B$16:$B$165&lt;&gt;"")*(Eingabe!$J$16:$J$165)*--(A314&gt;=Eingabe!$G$16:$G$165)*--(A314&lt;=Eingabe!$H$16:$H$165)*--(WEEKDAY(A314,2)&lt;=5)))</f>
        <v/>
      </c>
      <c r="G314" s="8">
        <f>IF(A314="","",SUM($F$2:F314))</f>
        <v/>
      </c>
      <c r="H314" s="8">
        <f>IF(A314="","",Eingabe!$B$7-G314)</f>
        <v/>
      </c>
      <c r="I314" s="8">
        <f>IF(A314="","",Eingabe!$B$8-SUMIFS($F$2:F314,$D$2:D314,D314))</f>
        <v/>
      </c>
      <c r="J314" s="8">
        <f>IF(A314="","",IF(E314="",1E+99,IFERROR(VLOOKUP(E314,Eingabe!$D$5:$E$44,2,FALSE),Eingabe!$B$9)))</f>
        <v/>
      </c>
      <c r="K314" s="8">
        <f>IF(A314="","",IF(E314="",1E+99,J314-SUMIFS($F$2:F314,$E$2:E314,E314)))</f>
        <v/>
      </c>
      <c r="L314" s="5">
        <f>IF(A314="","",IF(OR(H314&lt;0,I314&lt;0,K314&lt;0),"UNMOEGLICH","OK"))</f>
        <v/>
      </c>
    </row>
    <row r="315">
      <c r="A315" s="7">
        <f>IF(ROW()-1&lt;=Eingabe!$B$4-Eingabe!$B$3+1,Eingabe!$B$3+ROW()-2,"")</f>
        <v/>
      </c>
      <c r="B315" s="5">
        <f>IF(A315="","",TEXT(A315,"yyyy-mm-dd"))</f>
        <v/>
      </c>
      <c r="C315" s="5">
        <f>IF(A315="","",TEXT(A315,"ddd"))</f>
        <v/>
      </c>
      <c r="D315" s="5">
        <f>IF(A315="","",TEXT(A315,"yyyy-mm"))</f>
        <v/>
      </c>
      <c r="E315" s="5">
        <f>IF(A315="","",IF(A315&lt;Eingabe!$B$5,"",INT((A315-Eingabe!$B$5)/(Eingabe!$B$6*7))+1))</f>
        <v/>
      </c>
      <c r="F315" s="8">
        <f>IF(A315="","",SUMPRODUCT((Eingabe!$B$16:$B$165&lt;&gt;"")*(Eingabe!$J$16:$J$165)*--(A315&gt;=Eingabe!$G$16:$G$165)*--(A315&lt;=Eingabe!$H$16:$H$165)*--(WEEKDAY(A315,2)&lt;=5)))</f>
        <v/>
      </c>
      <c r="G315" s="8">
        <f>IF(A315="","",SUM($F$2:F315))</f>
        <v/>
      </c>
      <c r="H315" s="8">
        <f>IF(A315="","",Eingabe!$B$7-G315)</f>
        <v/>
      </c>
      <c r="I315" s="8">
        <f>IF(A315="","",Eingabe!$B$8-SUMIFS($F$2:F315,$D$2:D315,D315))</f>
        <v/>
      </c>
      <c r="J315" s="8">
        <f>IF(A315="","",IF(E315="",1E+99,IFERROR(VLOOKUP(E315,Eingabe!$D$5:$E$44,2,FALSE),Eingabe!$B$9)))</f>
        <v/>
      </c>
      <c r="K315" s="8">
        <f>IF(A315="","",IF(E315="",1E+99,J315-SUMIFS($F$2:F315,$E$2:E315,E315)))</f>
        <v/>
      </c>
      <c r="L315" s="5">
        <f>IF(A315="","",IF(OR(H315&lt;0,I315&lt;0,K315&lt;0),"UNMOEGLICH","OK"))</f>
        <v/>
      </c>
    </row>
    <row r="316">
      <c r="A316" s="7">
        <f>IF(ROW()-1&lt;=Eingabe!$B$4-Eingabe!$B$3+1,Eingabe!$B$3+ROW()-2,"")</f>
        <v/>
      </c>
      <c r="B316" s="5">
        <f>IF(A316="","",TEXT(A316,"yyyy-mm-dd"))</f>
        <v/>
      </c>
      <c r="C316" s="5">
        <f>IF(A316="","",TEXT(A316,"ddd"))</f>
        <v/>
      </c>
      <c r="D316" s="5">
        <f>IF(A316="","",TEXT(A316,"yyyy-mm"))</f>
        <v/>
      </c>
      <c r="E316" s="5">
        <f>IF(A316="","",IF(A316&lt;Eingabe!$B$5,"",INT((A316-Eingabe!$B$5)/(Eingabe!$B$6*7))+1))</f>
        <v/>
      </c>
      <c r="F316" s="8">
        <f>IF(A316="","",SUMPRODUCT((Eingabe!$B$16:$B$165&lt;&gt;"")*(Eingabe!$J$16:$J$165)*--(A316&gt;=Eingabe!$G$16:$G$165)*--(A316&lt;=Eingabe!$H$16:$H$165)*--(WEEKDAY(A316,2)&lt;=5)))</f>
        <v/>
      </c>
      <c r="G316" s="8">
        <f>IF(A316="","",SUM($F$2:F316))</f>
        <v/>
      </c>
      <c r="H316" s="8">
        <f>IF(A316="","",Eingabe!$B$7-G316)</f>
        <v/>
      </c>
      <c r="I316" s="8">
        <f>IF(A316="","",Eingabe!$B$8-SUMIFS($F$2:F316,$D$2:D316,D316))</f>
        <v/>
      </c>
      <c r="J316" s="8">
        <f>IF(A316="","",IF(E316="",1E+99,IFERROR(VLOOKUP(E316,Eingabe!$D$5:$E$44,2,FALSE),Eingabe!$B$9)))</f>
        <v/>
      </c>
      <c r="K316" s="8">
        <f>IF(A316="","",IF(E316="",1E+99,J316-SUMIFS($F$2:F316,$E$2:E316,E316)))</f>
        <v/>
      </c>
      <c r="L316" s="5">
        <f>IF(A316="","",IF(OR(H316&lt;0,I316&lt;0,K316&lt;0),"UNMOEGLICH","OK"))</f>
        <v/>
      </c>
    </row>
    <row r="317">
      <c r="A317" s="7">
        <f>IF(ROW()-1&lt;=Eingabe!$B$4-Eingabe!$B$3+1,Eingabe!$B$3+ROW()-2,"")</f>
        <v/>
      </c>
      <c r="B317" s="5">
        <f>IF(A317="","",TEXT(A317,"yyyy-mm-dd"))</f>
        <v/>
      </c>
      <c r="C317" s="5">
        <f>IF(A317="","",TEXT(A317,"ddd"))</f>
        <v/>
      </c>
      <c r="D317" s="5">
        <f>IF(A317="","",TEXT(A317,"yyyy-mm"))</f>
        <v/>
      </c>
      <c r="E317" s="5">
        <f>IF(A317="","",IF(A317&lt;Eingabe!$B$5,"",INT((A317-Eingabe!$B$5)/(Eingabe!$B$6*7))+1))</f>
        <v/>
      </c>
      <c r="F317" s="8">
        <f>IF(A317="","",SUMPRODUCT((Eingabe!$B$16:$B$165&lt;&gt;"")*(Eingabe!$J$16:$J$165)*--(A317&gt;=Eingabe!$G$16:$G$165)*--(A317&lt;=Eingabe!$H$16:$H$165)*--(WEEKDAY(A317,2)&lt;=5)))</f>
        <v/>
      </c>
      <c r="G317" s="8">
        <f>IF(A317="","",SUM($F$2:F317))</f>
        <v/>
      </c>
      <c r="H317" s="8">
        <f>IF(A317="","",Eingabe!$B$7-G317)</f>
        <v/>
      </c>
      <c r="I317" s="8">
        <f>IF(A317="","",Eingabe!$B$8-SUMIFS($F$2:F317,$D$2:D317,D317))</f>
        <v/>
      </c>
      <c r="J317" s="8">
        <f>IF(A317="","",IF(E317="",1E+99,IFERROR(VLOOKUP(E317,Eingabe!$D$5:$E$44,2,FALSE),Eingabe!$B$9)))</f>
        <v/>
      </c>
      <c r="K317" s="8">
        <f>IF(A317="","",IF(E317="",1E+99,J317-SUMIFS($F$2:F317,$E$2:E317,E317)))</f>
        <v/>
      </c>
      <c r="L317" s="5">
        <f>IF(A317="","",IF(OR(H317&lt;0,I317&lt;0,K317&lt;0),"UNMOEGLICH","OK"))</f>
        <v/>
      </c>
    </row>
    <row r="318">
      <c r="A318" s="7">
        <f>IF(ROW()-1&lt;=Eingabe!$B$4-Eingabe!$B$3+1,Eingabe!$B$3+ROW()-2,"")</f>
        <v/>
      </c>
      <c r="B318" s="5">
        <f>IF(A318="","",TEXT(A318,"yyyy-mm-dd"))</f>
        <v/>
      </c>
      <c r="C318" s="5">
        <f>IF(A318="","",TEXT(A318,"ddd"))</f>
        <v/>
      </c>
      <c r="D318" s="5">
        <f>IF(A318="","",TEXT(A318,"yyyy-mm"))</f>
        <v/>
      </c>
      <c r="E318" s="5">
        <f>IF(A318="","",IF(A318&lt;Eingabe!$B$5,"",INT((A318-Eingabe!$B$5)/(Eingabe!$B$6*7))+1))</f>
        <v/>
      </c>
      <c r="F318" s="8">
        <f>IF(A318="","",SUMPRODUCT((Eingabe!$B$16:$B$165&lt;&gt;"")*(Eingabe!$J$16:$J$165)*--(A318&gt;=Eingabe!$G$16:$G$165)*--(A318&lt;=Eingabe!$H$16:$H$165)*--(WEEKDAY(A318,2)&lt;=5)))</f>
        <v/>
      </c>
      <c r="G318" s="8">
        <f>IF(A318="","",SUM($F$2:F318))</f>
        <v/>
      </c>
      <c r="H318" s="8">
        <f>IF(A318="","",Eingabe!$B$7-G318)</f>
        <v/>
      </c>
      <c r="I318" s="8">
        <f>IF(A318="","",Eingabe!$B$8-SUMIFS($F$2:F318,$D$2:D318,D318))</f>
        <v/>
      </c>
      <c r="J318" s="8">
        <f>IF(A318="","",IF(E318="",1E+99,IFERROR(VLOOKUP(E318,Eingabe!$D$5:$E$44,2,FALSE),Eingabe!$B$9)))</f>
        <v/>
      </c>
      <c r="K318" s="8">
        <f>IF(A318="","",IF(E318="",1E+99,J318-SUMIFS($F$2:F318,$E$2:E318,E318)))</f>
        <v/>
      </c>
      <c r="L318" s="5">
        <f>IF(A318="","",IF(OR(H318&lt;0,I318&lt;0,K318&lt;0),"UNMOEGLICH","OK"))</f>
        <v/>
      </c>
    </row>
    <row r="319">
      <c r="A319" s="7">
        <f>IF(ROW()-1&lt;=Eingabe!$B$4-Eingabe!$B$3+1,Eingabe!$B$3+ROW()-2,"")</f>
        <v/>
      </c>
      <c r="B319" s="5">
        <f>IF(A319="","",TEXT(A319,"yyyy-mm-dd"))</f>
        <v/>
      </c>
      <c r="C319" s="5">
        <f>IF(A319="","",TEXT(A319,"ddd"))</f>
        <v/>
      </c>
      <c r="D319" s="5">
        <f>IF(A319="","",TEXT(A319,"yyyy-mm"))</f>
        <v/>
      </c>
      <c r="E319" s="5">
        <f>IF(A319="","",IF(A319&lt;Eingabe!$B$5,"",INT((A319-Eingabe!$B$5)/(Eingabe!$B$6*7))+1))</f>
        <v/>
      </c>
      <c r="F319" s="8">
        <f>IF(A319="","",SUMPRODUCT((Eingabe!$B$16:$B$165&lt;&gt;"")*(Eingabe!$J$16:$J$165)*--(A319&gt;=Eingabe!$G$16:$G$165)*--(A319&lt;=Eingabe!$H$16:$H$165)*--(WEEKDAY(A319,2)&lt;=5)))</f>
        <v/>
      </c>
      <c r="G319" s="8">
        <f>IF(A319="","",SUM($F$2:F319))</f>
        <v/>
      </c>
      <c r="H319" s="8">
        <f>IF(A319="","",Eingabe!$B$7-G319)</f>
        <v/>
      </c>
      <c r="I319" s="8">
        <f>IF(A319="","",Eingabe!$B$8-SUMIFS($F$2:F319,$D$2:D319,D319))</f>
        <v/>
      </c>
      <c r="J319" s="8">
        <f>IF(A319="","",IF(E319="",1E+99,IFERROR(VLOOKUP(E319,Eingabe!$D$5:$E$44,2,FALSE),Eingabe!$B$9)))</f>
        <v/>
      </c>
      <c r="K319" s="8">
        <f>IF(A319="","",IF(E319="",1E+99,J319-SUMIFS($F$2:F319,$E$2:E319,E319)))</f>
        <v/>
      </c>
      <c r="L319" s="5">
        <f>IF(A319="","",IF(OR(H319&lt;0,I319&lt;0,K319&lt;0),"UNMOEGLICH","OK"))</f>
        <v/>
      </c>
    </row>
    <row r="320">
      <c r="A320" s="7">
        <f>IF(ROW()-1&lt;=Eingabe!$B$4-Eingabe!$B$3+1,Eingabe!$B$3+ROW()-2,"")</f>
        <v/>
      </c>
      <c r="B320" s="5">
        <f>IF(A320="","",TEXT(A320,"yyyy-mm-dd"))</f>
        <v/>
      </c>
      <c r="C320" s="5">
        <f>IF(A320="","",TEXT(A320,"ddd"))</f>
        <v/>
      </c>
      <c r="D320" s="5">
        <f>IF(A320="","",TEXT(A320,"yyyy-mm"))</f>
        <v/>
      </c>
      <c r="E320" s="5">
        <f>IF(A320="","",IF(A320&lt;Eingabe!$B$5,"",INT((A320-Eingabe!$B$5)/(Eingabe!$B$6*7))+1))</f>
        <v/>
      </c>
      <c r="F320" s="8">
        <f>IF(A320="","",SUMPRODUCT((Eingabe!$B$16:$B$165&lt;&gt;"")*(Eingabe!$J$16:$J$165)*--(A320&gt;=Eingabe!$G$16:$G$165)*--(A320&lt;=Eingabe!$H$16:$H$165)*--(WEEKDAY(A320,2)&lt;=5)))</f>
        <v/>
      </c>
      <c r="G320" s="8">
        <f>IF(A320="","",SUM($F$2:F320))</f>
        <v/>
      </c>
      <c r="H320" s="8">
        <f>IF(A320="","",Eingabe!$B$7-G320)</f>
        <v/>
      </c>
      <c r="I320" s="8">
        <f>IF(A320="","",Eingabe!$B$8-SUMIFS($F$2:F320,$D$2:D320,D320))</f>
        <v/>
      </c>
      <c r="J320" s="8">
        <f>IF(A320="","",IF(E320="",1E+99,IFERROR(VLOOKUP(E320,Eingabe!$D$5:$E$44,2,FALSE),Eingabe!$B$9)))</f>
        <v/>
      </c>
      <c r="K320" s="8">
        <f>IF(A320="","",IF(E320="",1E+99,J320-SUMIFS($F$2:F320,$E$2:E320,E320)))</f>
        <v/>
      </c>
      <c r="L320" s="5">
        <f>IF(A320="","",IF(OR(H320&lt;0,I320&lt;0,K320&lt;0),"UNMOEGLICH","OK"))</f>
        <v/>
      </c>
    </row>
    <row r="321">
      <c r="A321" s="7">
        <f>IF(ROW()-1&lt;=Eingabe!$B$4-Eingabe!$B$3+1,Eingabe!$B$3+ROW()-2,"")</f>
        <v/>
      </c>
      <c r="B321" s="5">
        <f>IF(A321="","",TEXT(A321,"yyyy-mm-dd"))</f>
        <v/>
      </c>
      <c r="C321" s="5">
        <f>IF(A321="","",TEXT(A321,"ddd"))</f>
        <v/>
      </c>
      <c r="D321" s="5">
        <f>IF(A321="","",TEXT(A321,"yyyy-mm"))</f>
        <v/>
      </c>
      <c r="E321" s="5">
        <f>IF(A321="","",IF(A321&lt;Eingabe!$B$5,"",INT((A321-Eingabe!$B$5)/(Eingabe!$B$6*7))+1))</f>
        <v/>
      </c>
      <c r="F321" s="8">
        <f>IF(A321="","",SUMPRODUCT((Eingabe!$B$16:$B$165&lt;&gt;"")*(Eingabe!$J$16:$J$165)*--(A321&gt;=Eingabe!$G$16:$G$165)*--(A321&lt;=Eingabe!$H$16:$H$165)*--(WEEKDAY(A321,2)&lt;=5)))</f>
        <v/>
      </c>
      <c r="G321" s="8">
        <f>IF(A321="","",SUM($F$2:F321))</f>
        <v/>
      </c>
      <c r="H321" s="8">
        <f>IF(A321="","",Eingabe!$B$7-G321)</f>
        <v/>
      </c>
      <c r="I321" s="8">
        <f>IF(A321="","",Eingabe!$B$8-SUMIFS($F$2:F321,$D$2:D321,D321))</f>
        <v/>
      </c>
      <c r="J321" s="8">
        <f>IF(A321="","",IF(E321="",1E+99,IFERROR(VLOOKUP(E321,Eingabe!$D$5:$E$44,2,FALSE),Eingabe!$B$9)))</f>
        <v/>
      </c>
      <c r="K321" s="8">
        <f>IF(A321="","",IF(E321="",1E+99,J321-SUMIFS($F$2:F321,$E$2:E321,E321)))</f>
        <v/>
      </c>
      <c r="L321" s="5">
        <f>IF(A321="","",IF(OR(H321&lt;0,I321&lt;0,K321&lt;0),"UNMOEGLICH","OK"))</f>
        <v/>
      </c>
    </row>
    <row r="322">
      <c r="A322" s="7">
        <f>IF(ROW()-1&lt;=Eingabe!$B$4-Eingabe!$B$3+1,Eingabe!$B$3+ROW()-2,"")</f>
        <v/>
      </c>
      <c r="B322" s="5">
        <f>IF(A322="","",TEXT(A322,"yyyy-mm-dd"))</f>
        <v/>
      </c>
      <c r="C322" s="5">
        <f>IF(A322="","",TEXT(A322,"ddd"))</f>
        <v/>
      </c>
      <c r="D322" s="5">
        <f>IF(A322="","",TEXT(A322,"yyyy-mm"))</f>
        <v/>
      </c>
      <c r="E322" s="5">
        <f>IF(A322="","",IF(A322&lt;Eingabe!$B$5,"",INT((A322-Eingabe!$B$5)/(Eingabe!$B$6*7))+1))</f>
        <v/>
      </c>
      <c r="F322" s="8">
        <f>IF(A322="","",SUMPRODUCT((Eingabe!$B$16:$B$165&lt;&gt;"")*(Eingabe!$J$16:$J$165)*--(A322&gt;=Eingabe!$G$16:$G$165)*--(A322&lt;=Eingabe!$H$16:$H$165)*--(WEEKDAY(A322,2)&lt;=5)))</f>
        <v/>
      </c>
      <c r="G322" s="8">
        <f>IF(A322="","",SUM($F$2:F322))</f>
        <v/>
      </c>
      <c r="H322" s="8">
        <f>IF(A322="","",Eingabe!$B$7-G322)</f>
        <v/>
      </c>
      <c r="I322" s="8">
        <f>IF(A322="","",Eingabe!$B$8-SUMIFS($F$2:F322,$D$2:D322,D322))</f>
        <v/>
      </c>
      <c r="J322" s="8">
        <f>IF(A322="","",IF(E322="",1E+99,IFERROR(VLOOKUP(E322,Eingabe!$D$5:$E$44,2,FALSE),Eingabe!$B$9)))</f>
        <v/>
      </c>
      <c r="K322" s="8">
        <f>IF(A322="","",IF(E322="",1E+99,J322-SUMIFS($F$2:F322,$E$2:E322,E322)))</f>
        <v/>
      </c>
      <c r="L322" s="5">
        <f>IF(A322="","",IF(OR(H322&lt;0,I322&lt;0,K322&lt;0),"UNMOEGLICH","OK"))</f>
        <v/>
      </c>
    </row>
    <row r="323">
      <c r="A323" s="7">
        <f>IF(ROW()-1&lt;=Eingabe!$B$4-Eingabe!$B$3+1,Eingabe!$B$3+ROW()-2,"")</f>
        <v/>
      </c>
      <c r="B323" s="5">
        <f>IF(A323="","",TEXT(A323,"yyyy-mm-dd"))</f>
        <v/>
      </c>
      <c r="C323" s="5">
        <f>IF(A323="","",TEXT(A323,"ddd"))</f>
        <v/>
      </c>
      <c r="D323" s="5">
        <f>IF(A323="","",TEXT(A323,"yyyy-mm"))</f>
        <v/>
      </c>
      <c r="E323" s="5">
        <f>IF(A323="","",IF(A323&lt;Eingabe!$B$5,"",INT((A323-Eingabe!$B$5)/(Eingabe!$B$6*7))+1))</f>
        <v/>
      </c>
      <c r="F323" s="8">
        <f>IF(A323="","",SUMPRODUCT((Eingabe!$B$16:$B$165&lt;&gt;"")*(Eingabe!$J$16:$J$165)*--(A323&gt;=Eingabe!$G$16:$G$165)*--(A323&lt;=Eingabe!$H$16:$H$165)*--(WEEKDAY(A323,2)&lt;=5)))</f>
        <v/>
      </c>
      <c r="G323" s="8">
        <f>IF(A323="","",SUM($F$2:F323))</f>
        <v/>
      </c>
      <c r="H323" s="8">
        <f>IF(A323="","",Eingabe!$B$7-G323)</f>
        <v/>
      </c>
      <c r="I323" s="8">
        <f>IF(A323="","",Eingabe!$B$8-SUMIFS($F$2:F323,$D$2:D323,D323))</f>
        <v/>
      </c>
      <c r="J323" s="8">
        <f>IF(A323="","",IF(E323="",1E+99,IFERROR(VLOOKUP(E323,Eingabe!$D$5:$E$44,2,FALSE),Eingabe!$B$9)))</f>
        <v/>
      </c>
      <c r="K323" s="8">
        <f>IF(A323="","",IF(E323="",1E+99,J323-SUMIFS($F$2:F323,$E$2:E323,E323)))</f>
        <v/>
      </c>
      <c r="L323" s="5">
        <f>IF(A323="","",IF(OR(H323&lt;0,I323&lt;0,K323&lt;0),"UNMOEGLICH","OK"))</f>
        <v/>
      </c>
    </row>
    <row r="324">
      <c r="A324" s="7">
        <f>IF(ROW()-1&lt;=Eingabe!$B$4-Eingabe!$B$3+1,Eingabe!$B$3+ROW()-2,"")</f>
        <v/>
      </c>
      <c r="B324" s="5">
        <f>IF(A324="","",TEXT(A324,"yyyy-mm-dd"))</f>
        <v/>
      </c>
      <c r="C324" s="5">
        <f>IF(A324="","",TEXT(A324,"ddd"))</f>
        <v/>
      </c>
      <c r="D324" s="5">
        <f>IF(A324="","",TEXT(A324,"yyyy-mm"))</f>
        <v/>
      </c>
      <c r="E324" s="5">
        <f>IF(A324="","",IF(A324&lt;Eingabe!$B$5,"",INT((A324-Eingabe!$B$5)/(Eingabe!$B$6*7))+1))</f>
        <v/>
      </c>
      <c r="F324" s="8">
        <f>IF(A324="","",SUMPRODUCT((Eingabe!$B$16:$B$165&lt;&gt;"")*(Eingabe!$J$16:$J$165)*--(A324&gt;=Eingabe!$G$16:$G$165)*--(A324&lt;=Eingabe!$H$16:$H$165)*--(WEEKDAY(A324,2)&lt;=5)))</f>
        <v/>
      </c>
      <c r="G324" s="8">
        <f>IF(A324="","",SUM($F$2:F324))</f>
        <v/>
      </c>
      <c r="H324" s="8">
        <f>IF(A324="","",Eingabe!$B$7-G324)</f>
        <v/>
      </c>
      <c r="I324" s="8">
        <f>IF(A324="","",Eingabe!$B$8-SUMIFS($F$2:F324,$D$2:D324,D324))</f>
        <v/>
      </c>
      <c r="J324" s="8">
        <f>IF(A324="","",IF(E324="",1E+99,IFERROR(VLOOKUP(E324,Eingabe!$D$5:$E$44,2,FALSE),Eingabe!$B$9)))</f>
        <v/>
      </c>
      <c r="K324" s="8">
        <f>IF(A324="","",IF(E324="",1E+99,J324-SUMIFS($F$2:F324,$E$2:E324,E324)))</f>
        <v/>
      </c>
      <c r="L324" s="5">
        <f>IF(A324="","",IF(OR(H324&lt;0,I324&lt;0,K324&lt;0),"UNMOEGLICH","OK"))</f>
        <v/>
      </c>
    </row>
    <row r="325">
      <c r="A325" s="7">
        <f>IF(ROW()-1&lt;=Eingabe!$B$4-Eingabe!$B$3+1,Eingabe!$B$3+ROW()-2,"")</f>
        <v/>
      </c>
      <c r="B325" s="5">
        <f>IF(A325="","",TEXT(A325,"yyyy-mm-dd"))</f>
        <v/>
      </c>
      <c r="C325" s="5">
        <f>IF(A325="","",TEXT(A325,"ddd"))</f>
        <v/>
      </c>
      <c r="D325" s="5">
        <f>IF(A325="","",TEXT(A325,"yyyy-mm"))</f>
        <v/>
      </c>
      <c r="E325" s="5">
        <f>IF(A325="","",IF(A325&lt;Eingabe!$B$5,"",INT((A325-Eingabe!$B$5)/(Eingabe!$B$6*7))+1))</f>
        <v/>
      </c>
      <c r="F325" s="8">
        <f>IF(A325="","",SUMPRODUCT((Eingabe!$B$16:$B$165&lt;&gt;"")*(Eingabe!$J$16:$J$165)*--(A325&gt;=Eingabe!$G$16:$G$165)*--(A325&lt;=Eingabe!$H$16:$H$165)*--(WEEKDAY(A325,2)&lt;=5)))</f>
        <v/>
      </c>
      <c r="G325" s="8">
        <f>IF(A325="","",SUM($F$2:F325))</f>
        <v/>
      </c>
      <c r="H325" s="8">
        <f>IF(A325="","",Eingabe!$B$7-G325)</f>
        <v/>
      </c>
      <c r="I325" s="8">
        <f>IF(A325="","",Eingabe!$B$8-SUMIFS($F$2:F325,$D$2:D325,D325))</f>
        <v/>
      </c>
      <c r="J325" s="8">
        <f>IF(A325="","",IF(E325="",1E+99,IFERROR(VLOOKUP(E325,Eingabe!$D$5:$E$44,2,FALSE),Eingabe!$B$9)))</f>
        <v/>
      </c>
      <c r="K325" s="8">
        <f>IF(A325="","",IF(E325="",1E+99,J325-SUMIFS($F$2:F325,$E$2:E325,E325)))</f>
        <v/>
      </c>
      <c r="L325" s="5">
        <f>IF(A325="","",IF(OR(H325&lt;0,I325&lt;0,K325&lt;0),"UNMOEGLICH","OK"))</f>
        <v/>
      </c>
    </row>
    <row r="326">
      <c r="A326" s="7">
        <f>IF(ROW()-1&lt;=Eingabe!$B$4-Eingabe!$B$3+1,Eingabe!$B$3+ROW()-2,"")</f>
        <v/>
      </c>
      <c r="B326" s="5">
        <f>IF(A326="","",TEXT(A326,"yyyy-mm-dd"))</f>
        <v/>
      </c>
      <c r="C326" s="5">
        <f>IF(A326="","",TEXT(A326,"ddd"))</f>
        <v/>
      </c>
      <c r="D326" s="5">
        <f>IF(A326="","",TEXT(A326,"yyyy-mm"))</f>
        <v/>
      </c>
      <c r="E326" s="5">
        <f>IF(A326="","",IF(A326&lt;Eingabe!$B$5,"",INT((A326-Eingabe!$B$5)/(Eingabe!$B$6*7))+1))</f>
        <v/>
      </c>
      <c r="F326" s="8">
        <f>IF(A326="","",SUMPRODUCT((Eingabe!$B$16:$B$165&lt;&gt;"")*(Eingabe!$J$16:$J$165)*--(A326&gt;=Eingabe!$G$16:$G$165)*--(A326&lt;=Eingabe!$H$16:$H$165)*--(WEEKDAY(A326,2)&lt;=5)))</f>
        <v/>
      </c>
      <c r="G326" s="8">
        <f>IF(A326="","",SUM($F$2:F326))</f>
        <v/>
      </c>
      <c r="H326" s="8">
        <f>IF(A326="","",Eingabe!$B$7-G326)</f>
        <v/>
      </c>
      <c r="I326" s="8">
        <f>IF(A326="","",Eingabe!$B$8-SUMIFS($F$2:F326,$D$2:D326,D326))</f>
        <v/>
      </c>
      <c r="J326" s="8">
        <f>IF(A326="","",IF(E326="",1E+99,IFERROR(VLOOKUP(E326,Eingabe!$D$5:$E$44,2,FALSE),Eingabe!$B$9)))</f>
        <v/>
      </c>
      <c r="K326" s="8">
        <f>IF(A326="","",IF(E326="",1E+99,J326-SUMIFS($F$2:F326,$E$2:E326,E326)))</f>
        <v/>
      </c>
      <c r="L326" s="5">
        <f>IF(A326="","",IF(OR(H326&lt;0,I326&lt;0,K326&lt;0),"UNMOEGLICH","OK"))</f>
        <v/>
      </c>
    </row>
    <row r="327">
      <c r="A327" s="7">
        <f>IF(ROW()-1&lt;=Eingabe!$B$4-Eingabe!$B$3+1,Eingabe!$B$3+ROW()-2,"")</f>
        <v/>
      </c>
      <c r="B327" s="5">
        <f>IF(A327="","",TEXT(A327,"yyyy-mm-dd"))</f>
        <v/>
      </c>
      <c r="C327" s="5">
        <f>IF(A327="","",TEXT(A327,"ddd"))</f>
        <v/>
      </c>
      <c r="D327" s="5">
        <f>IF(A327="","",TEXT(A327,"yyyy-mm"))</f>
        <v/>
      </c>
      <c r="E327" s="5">
        <f>IF(A327="","",IF(A327&lt;Eingabe!$B$5,"",INT((A327-Eingabe!$B$5)/(Eingabe!$B$6*7))+1))</f>
        <v/>
      </c>
      <c r="F327" s="8">
        <f>IF(A327="","",SUMPRODUCT((Eingabe!$B$16:$B$165&lt;&gt;"")*(Eingabe!$J$16:$J$165)*--(A327&gt;=Eingabe!$G$16:$G$165)*--(A327&lt;=Eingabe!$H$16:$H$165)*--(WEEKDAY(A327,2)&lt;=5)))</f>
        <v/>
      </c>
      <c r="G327" s="8">
        <f>IF(A327="","",SUM($F$2:F327))</f>
        <v/>
      </c>
      <c r="H327" s="8">
        <f>IF(A327="","",Eingabe!$B$7-G327)</f>
        <v/>
      </c>
      <c r="I327" s="8">
        <f>IF(A327="","",Eingabe!$B$8-SUMIFS($F$2:F327,$D$2:D327,D327))</f>
        <v/>
      </c>
      <c r="J327" s="8">
        <f>IF(A327="","",IF(E327="",1E+99,IFERROR(VLOOKUP(E327,Eingabe!$D$5:$E$44,2,FALSE),Eingabe!$B$9)))</f>
        <v/>
      </c>
      <c r="K327" s="8">
        <f>IF(A327="","",IF(E327="",1E+99,J327-SUMIFS($F$2:F327,$E$2:E327,E327)))</f>
        <v/>
      </c>
      <c r="L327" s="5">
        <f>IF(A327="","",IF(OR(H327&lt;0,I327&lt;0,K327&lt;0),"UNMOEGLICH","OK"))</f>
        <v/>
      </c>
    </row>
    <row r="328">
      <c r="A328" s="7">
        <f>IF(ROW()-1&lt;=Eingabe!$B$4-Eingabe!$B$3+1,Eingabe!$B$3+ROW()-2,"")</f>
        <v/>
      </c>
      <c r="B328" s="5">
        <f>IF(A328="","",TEXT(A328,"yyyy-mm-dd"))</f>
        <v/>
      </c>
      <c r="C328" s="5">
        <f>IF(A328="","",TEXT(A328,"ddd"))</f>
        <v/>
      </c>
      <c r="D328" s="5">
        <f>IF(A328="","",TEXT(A328,"yyyy-mm"))</f>
        <v/>
      </c>
      <c r="E328" s="5">
        <f>IF(A328="","",IF(A328&lt;Eingabe!$B$5,"",INT((A328-Eingabe!$B$5)/(Eingabe!$B$6*7))+1))</f>
        <v/>
      </c>
      <c r="F328" s="8">
        <f>IF(A328="","",SUMPRODUCT((Eingabe!$B$16:$B$165&lt;&gt;"")*(Eingabe!$J$16:$J$165)*--(A328&gt;=Eingabe!$G$16:$G$165)*--(A328&lt;=Eingabe!$H$16:$H$165)*--(WEEKDAY(A328,2)&lt;=5)))</f>
        <v/>
      </c>
      <c r="G328" s="8">
        <f>IF(A328="","",SUM($F$2:F328))</f>
        <v/>
      </c>
      <c r="H328" s="8">
        <f>IF(A328="","",Eingabe!$B$7-G328)</f>
        <v/>
      </c>
      <c r="I328" s="8">
        <f>IF(A328="","",Eingabe!$B$8-SUMIFS($F$2:F328,$D$2:D328,D328))</f>
        <v/>
      </c>
      <c r="J328" s="8">
        <f>IF(A328="","",IF(E328="",1E+99,IFERROR(VLOOKUP(E328,Eingabe!$D$5:$E$44,2,FALSE),Eingabe!$B$9)))</f>
        <v/>
      </c>
      <c r="K328" s="8">
        <f>IF(A328="","",IF(E328="",1E+99,J328-SUMIFS($F$2:F328,$E$2:E328,E328)))</f>
        <v/>
      </c>
      <c r="L328" s="5">
        <f>IF(A328="","",IF(OR(H328&lt;0,I328&lt;0,K328&lt;0),"UNMOEGLICH","OK"))</f>
        <v/>
      </c>
    </row>
    <row r="329">
      <c r="A329" s="7">
        <f>IF(ROW()-1&lt;=Eingabe!$B$4-Eingabe!$B$3+1,Eingabe!$B$3+ROW()-2,"")</f>
        <v/>
      </c>
      <c r="B329" s="5">
        <f>IF(A329="","",TEXT(A329,"yyyy-mm-dd"))</f>
        <v/>
      </c>
      <c r="C329" s="5">
        <f>IF(A329="","",TEXT(A329,"ddd"))</f>
        <v/>
      </c>
      <c r="D329" s="5">
        <f>IF(A329="","",TEXT(A329,"yyyy-mm"))</f>
        <v/>
      </c>
      <c r="E329" s="5">
        <f>IF(A329="","",IF(A329&lt;Eingabe!$B$5,"",INT((A329-Eingabe!$B$5)/(Eingabe!$B$6*7))+1))</f>
        <v/>
      </c>
      <c r="F329" s="8">
        <f>IF(A329="","",SUMPRODUCT((Eingabe!$B$16:$B$165&lt;&gt;"")*(Eingabe!$J$16:$J$165)*--(A329&gt;=Eingabe!$G$16:$G$165)*--(A329&lt;=Eingabe!$H$16:$H$165)*--(WEEKDAY(A329,2)&lt;=5)))</f>
        <v/>
      </c>
      <c r="G329" s="8">
        <f>IF(A329="","",SUM($F$2:F329))</f>
        <v/>
      </c>
      <c r="H329" s="8">
        <f>IF(A329="","",Eingabe!$B$7-G329)</f>
        <v/>
      </c>
      <c r="I329" s="8">
        <f>IF(A329="","",Eingabe!$B$8-SUMIFS($F$2:F329,$D$2:D329,D329))</f>
        <v/>
      </c>
      <c r="J329" s="8">
        <f>IF(A329="","",IF(E329="",1E+99,IFERROR(VLOOKUP(E329,Eingabe!$D$5:$E$44,2,FALSE),Eingabe!$B$9)))</f>
        <v/>
      </c>
      <c r="K329" s="8">
        <f>IF(A329="","",IF(E329="",1E+99,J329-SUMIFS($F$2:F329,$E$2:E329,E329)))</f>
        <v/>
      </c>
      <c r="L329" s="5">
        <f>IF(A329="","",IF(OR(H329&lt;0,I329&lt;0,K329&lt;0),"UNMOEGLICH","OK"))</f>
        <v/>
      </c>
    </row>
    <row r="330">
      <c r="A330" s="7">
        <f>IF(ROW()-1&lt;=Eingabe!$B$4-Eingabe!$B$3+1,Eingabe!$B$3+ROW()-2,"")</f>
        <v/>
      </c>
      <c r="B330" s="5">
        <f>IF(A330="","",TEXT(A330,"yyyy-mm-dd"))</f>
        <v/>
      </c>
      <c r="C330" s="5">
        <f>IF(A330="","",TEXT(A330,"ddd"))</f>
        <v/>
      </c>
      <c r="D330" s="5">
        <f>IF(A330="","",TEXT(A330,"yyyy-mm"))</f>
        <v/>
      </c>
      <c r="E330" s="5">
        <f>IF(A330="","",IF(A330&lt;Eingabe!$B$5,"",INT((A330-Eingabe!$B$5)/(Eingabe!$B$6*7))+1))</f>
        <v/>
      </c>
      <c r="F330" s="8">
        <f>IF(A330="","",SUMPRODUCT((Eingabe!$B$16:$B$165&lt;&gt;"")*(Eingabe!$J$16:$J$165)*--(A330&gt;=Eingabe!$G$16:$G$165)*--(A330&lt;=Eingabe!$H$16:$H$165)*--(WEEKDAY(A330,2)&lt;=5)))</f>
        <v/>
      </c>
      <c r="G330" s="8">
        <f>IF(A330="","",SUM($F$2:F330))</f>
        <v/>
      </c>
      <c r="H330" s="8">
        <f>IF(A330="","",Eingabe!$B$7-G330)</f>
        <v/>
      </c>
      <c r="I330" s="8">
        <f>IF(A330="","",Eingabe!$B$8-SUMIFS($F$2:F330,$D$2:D330,D330))</f>
        <v/>
      </c>
      <c r="J330" s="8">
        <f>IF(A330="","",IF(E330="",1E+99,IFERROR(VLOOKUP(E330,Eingabe!$D$5:$E$44,2,FALSE),Eingabe!$B$9)))</f>
        <v/>
      </c>
      <c r="K330" s="8">
        <f>IF(A330="","",IF(E330="",1E+99,J330-SUMIFS($F$2:F330,$E$2:E330,E330)))</f>
        <v/>
      </c>
      <c r="L330" s="5">
        <f>IF(A330="","",IF(OR(H330&lt;0,I330&lt;0,K330&lt;0),"UNMOEGLICH","OK"))</f>
        <v/>
      </c>
    </row>
    <row r="331">
      <c r="A331" s="7">
        <f>IF(ROW()-1&lt;=Eingabe!$B$4-Eingabe!$B$3+1,Eingabe!$B$3+ROW()-2,"")</f>
        <v/>
      </c>
      <c r="B331" s="5">
        <f>IF(A331="","",TEXT(A331,"yyyy-mm-dd"))</f>
        <v/>
      </c>
      <c r="C331" s="5">
        <f>IF(A331="","",TEXT(A331,"ddd"))</f>
        <v/>
      </c>
      <c r="D331" s="5">
        <f>IF(A331="","",TEXT(A331,"yyyy-mm"))</f>
        <v/>
      </c>
      <c r="E331" s="5">
        <f>IF(A331="","",IF(A331&lt;Eingabe!$B$5,"",INT((A331-Eingabe!$B$5)/(Eingabe!$B$6*7))+1))</f>
        <v/>
      </c>
      <c r="F331" s="8">
        <f>IF(A331="","",SUMPRODUCT((Eingabe!$B$16:$B$165&lt;&gt;"")*(Eingabe!$J$16:$J$165)*--(A331&gt;=Eingabe!$G$16:$G$165)*--(A331&lt;=Eingabe!$H$16:$H$165)*--(WEEKDAY(A331,2)&lt;=5)))</f>
        <v/>
      </c>
      <c r="G331" s="8">
        <f>IF(A331="","",SUM($F$2:F331))</f>
        <v/>
      </c>
      <c r="H331" s="8">
        <f>IF(A331="","",Eingabe!$B$7-G331)</f>
        <v/>
      </c>
      <c r="I331" s="8">
        <f>IF(A331="","",Eingabe!$B$8-SUMIFS($F$2:F331,$D$2:D331,D331))</f>
        <v/>
      </c>
      <c r="J331" s="8">
        <f>IF(A331="","",IF(E331="",1E+99,IFERROR(VLOOKUP(E331,Eingabe!$D$5:$E$44,2,FALSE),Eingabe!$B$9)))</f>
        <v/>
      </c>
      <c r="K331" s="8">
        <f>IF(A331="","",IF(E331="",1E+99,J331-SUMIFS($F$2:F331,$E$2:E331,E331)))</f>
        <v/>
      </c>
      <c r="L331" s="5">
        <f>IF(A331="","",IF(OR(H331&lt;0,I331&lt;0,K331&lt;0),"UNMOEGLICH","OK"))</f>
        <v/>
      </c>
    </row>
    <row r="332">
      <c r="A332" s="7">
        <f>IF(ROW()-1&lt;=Eingabe!$B$4-Eingabe!$B$3+1,Eingabe!$B$3+ROW()-2,"")</f>
        <v/>
      </c>
      <c r="B332" s="5">
        <f>IF(A332="","",TEXT(A332,"yyyy-mm-dd"))</f>
        <v/>
      </c>
      <c r="C332" s="5">
        <f>IF(A332="","",TEXT(A332,"ddd"))</f>
        <v/>
      </c>
      <c r="D332" s="5">
        <f>IF(A332="","",TEXT(A332,"yyyy-mm"))</f>
        <v/>
      </c>
      <c r="E332" s="5">
        <f>IF(A332="","",IF(A332&lt;Eingabe!$B$5,"",INT((A332-Eingabe!$B$5)/(Eingabe!$B$6*7))+1))</f>
        <v/>
      </c>
      <c r="F332" s="8">
        <f>IF(A332="","",SUMPRODUCT((Eingabe!$B$16:$B$165&lt;&gt;"")*(Eingabe!$J$16:$J$165)*--(A332&gt;=Eingabe!$G$16:$G$165)*--(A332&lt;=Eingabe!$H$16:$H$165)*--(WEEKDAY(A332,2)&lt;=5)))</f>
        <v/>
      </c>
      <c r="G332" s="8">
        <f>IF(A332="","",SUM($F$2:F332))</f>
        <v/>
      </c>
      <c r="H332" s="8">
        <f>IF(A332="","",Eingabe!$B$7-G332)</f>
        <v/>
      </c>
      <c r="I332" s="8">
        <f>IF(A332="","",Eingabe!$B$8-SUMIFS($F$2:F332,$D$2:D332,D332))</f>
        <v/>
      </c>
      <c r="J332" s="8">
        <f>IF(A332="","",IF(E332="",1E+99,IFERROR(VLOOKUP(E332,Eingabe!$D$5:$E$44,2,FALSE),Eingabe!$B$9)))</f>
        <v/>
      </c>
      <c r="K332" s="8">
        <f>IF(A332="","",IF(E332="",1E+99,J332-SUMIFS($F$2:F332,$E$2:E332,E332)))</f>
        <v/>
      </c>
      <c r="L332" s="5">
        <f>IF(A332="","",IF(OR(H332&lt;0,I332&lt;0,K332&lt;0),"UNMOEGLICH","OK"))</f>
        <v/>
      </c>
    </row>
    <row r="333">
      <c r="A333" s="7">
        <f>IF(ROW()-1&lt;=Eingabe!$B$4-Eingabe!$B$3+1,Eingabe!$B$3+ROW()-2,"")</f>
        <v/>
      </c>
      <c r="B333" s="5">
        <f>IF(A333="","",TEXT(A333,"yyyy-mm-dd"))</f>
        <v/>
      </c>
      <c r="C333" s="5">
        <f>IF(A333="","",TEXT(A333,"ddd"))</f>
        <v/>
      </c>
      <c r="D333" s="5">
        <f>IF(A333="","",TEXT(A333,"yyyy-mm"))</f>
        <v/>
      </c>
      <c r="E333" s="5">
        <f>IF(A333="","",IF(A333&lt;Eingabe!$B$5,"",INT((A333-Eingabe!$B$5)/(Eingabe!$B$6*7))+1))</f>
        <v/>
      </c>
      <c r="F333" s="8">
        <f>IF(A333="","",SUMPRODUCT((Eingabe!$B$16:$B$165&lt;&gt;"")*(Eingabe!$J$16:$J$165)*--(A333&gt;=Eingabe!$G$16:$G$165)*--(A333&lt;=Eingabe!$H$16:$H$165)*--(WEEKDAY(A333,2)&lt;=5)))</f>
        <v/>
      </c>
      <c r="G333" s="8">
        <f>IF(A333="","",SUM($F$2:F333))</f>
        <v/>
      </c>
      <c r="H333" s="8">
        <f>IF(A333="","",Eingabe!$B$7-G333)</f>
        <v/>
      </c>
      <c r="I333" s="8">
        <f>IF(A333="","",Eingabe!$B$8-SUMIFS($F$2:F333,$D$2:D333,D333))</f>
        <v/>
      </c>
      <c r="J333" s="8">
        <f>IF(A333="","",IF(E333="",1E+99,IFERROR(VLOOKUP(E333,Eingabe!$D$5:$E$44,2,FALSE),Eingabe!$B$9)))</f>
        <v/>
      </c>
      <c r="K333" s="8">
        <f>IF(A333="","",IF(E333="",1E+99,J333-SUMIFS($F$2:F333,$E$2:E333,E333)))</f>
        <v/>
      </c>
      <c r="L333" s="5">
        <f>IF(A333="","",IF(OR(H333&lt;0,I333&lt;0,K333&lt;0),"UNMOEGLICH","OK"))</f>
        <v/>
      </c>
    </row>
    <row r="334">
      <c r="A334" s="7">
        <f>IF(ROW()-1&lt;=Eingabe!$B$4-Eingabe!$B$3+1,Eingabe!$B$3+ROW()-2,"")</f>
        <v/>
      </c>
      <c r="B334" s="5">
        <f>IF(A334="","",TEXT(A334,"yyyy-mm-dd"))</f>
        <v/>
      </c>
      <c r="C334" s="5">
        <f>IF(A334="","",TEXT(A334,"ddd"))</f>
        <v/>
      </c>
      <c r="D334" s="5">
        <f>IF(A334="","",TEXT(A334,"yyyy-mm"))</f>
        <v/>
      </c>
      <c r="E334" s="5">
        <f>IF(A334="","",IF(A334&lt;Eingabe!$B$5,"",INT((A334-Eingabe!$B$5)/(Eingabe!$B$6*7))+1))</f>
        <v/>
      </c>
      <c r="F334" s="8">
        <f>IF(A334="","",SUMPRODUCT((Eingabe!$B$16:$B$165&lt;&gt;"")*(Eingabe!$J$16:$J$165)*--(A334&gt;=Eingabe!$G$16:$G$165)*--(A334&lt;=Eingabe!$H$16:$H$165)*--(WEEKDAY(A334,2)&lt;=5)))</f>
        <v/>
      </c>
      <c r="G334" s="8">
        <f>IF(A334="","",SUM($F$2:F334))</f>
        <v/>
      </c>
      <c r="H334" s="8">
        <f>IF(A334="","",Eingabe!$B$7-G334)</f>
        <v/>
      </c>
      <c r="I334" s="8">
        <f>IF(A334="","",Eingabe!$B$8-SUMIFS($F$2:F334,$D$2:D334,D334))</f>
        <v/>
      </c>
      <c r="J334" s="8">
        <f>IF(A334="","",IF(E334="",1E+99,IFERROR(VLOOKUP(E334,Eingabe!$D$5:$E$44,2,FALSE),Eingabe!$B$9)))</f>
        <v/>
      </c>
      <c r="K334" s="8">
        <f>IF(A334="","",IF(E334="",1E+99,J334-SUMIFS($F$2:F334,$E$2:E334,E334)))</f>
        <v/>
      </c>
      <c r="L334" s="5">
        <f>IF(A334="","",IF(OR(H334&lt;0,I334&lt;0,K334&lt;0),"UNMOEGLICH","OK"))</f>
        <v/>
      </c>
    </row>
    <row r="335">
      <c r="A335" s="7">
        <f>IF(ROW()-1&lt;=Eingabe!$B$4-Eingabe!$B$3+1,Eingabe!$B$3+ROW()-2,"")</f>
        <v/>
      </c>
      <c r="B335" s="5">
        <f>IF(A335="","",TEXT(A335,"yyyy-mm-dd"))</f>
        <v/>
      </c>
      <c r="C335" s="5">
        <f>IF(A335="","",TEXT(A335,"ddd"))</f>
        <v/>
      </c>
      <c r="D335" s="5">
        <f>IF(A335="","",TEXT(A335,"yyyy-mm"))</f>
        <v/>
      </c>
      <c r="E335" s="5">
        <f>IF(A335="","",IF(A335&lt;Eingabe!$B$5,"",INT((A335-Eingabe!$B$5)/(Eingabe!$B$6*7))+1))</f>
        <v/>
      </c>
      <c r="F335" s="8">
        <f>IF(A335="","",SUMPRODUCT((Eingabe!$B$16:$B$165&lt;&gt;"")*(Eingabe!$J$16:$J$165)*--(A335&gt;=Eingabe!$G$16:$G$165)*--(A335&lt;=Eingabe!$H$16:$H$165)*--(WEEKDAY(A335,2)&lt;=5)))</f>
        <v/>
      </c>
      <c r="G335" s="8">
        <f>IF(A335="","",SUM($F$2:F335))</f>
        <v/>
      </c>
      <c r="H335" s="8">
        <f>IF(A335="","",Eingabe!$B$7-G335)</f>
        <v/>
      </c>
      <c r="I335" s="8">
        <f>IF(A335="","",Eingabe!$B$8-SUMIFS($F$2:F335,$D$2:D335,D335))</f>
        <v/>
      </c>
      <c r="J335" s="8">
        <f>IF(A335="","",IF(E335="",1E+99,IFERROR(VLOOKUP(E335,Eingabe!$D$5:$E$44,2,FALSE),Eingabe!$B$9)))</f>
        <v/>
      </c>
      <c r="K335" s="8">
        <f>IF(A335="","",IF(E335="",1E+99,J335-SUMIFS($F$2:F335,$E$2:E335,E335)))</f>
        <v/>
      </c>
      <c r="L335" s="5">
        <f>IF(A335="","",IF(OR(H335&lt;0,I335&lt;0,K335&lt;0),"UNMOEGLICH","OK"))</f>
        <v/>
      </c>
    </row>
    <row r="336">
      <c r="A336" s="7">
        <f>IF(ROW()-1&lt;=Eingabe!$B$4-Eingabe!$B$3+1,Eingabe!$B$3+ROW()-2,"")</f>
        <v/>
      </c>
      <c r="B336" s="5">
        <f>IF(A336="","",TEXT(A336,"yyyy-mm-dd"))</f>
        <v/>
      </c>
      <c r="C336" s="5">
        <f>IF(A336="","",TEXT(A336,"ddd"))</f>
        <v/>
      </c>
      <c r="D336" s="5">
        <f>IF(A336="","",TEXT(A336,"yyyy-mm"))</f>
        <v/>
      </c>
      <c r="E336" s="5">
        <f>IF(A336="","",IF(A336&lt;Eingabe!$B$5,"",INT((A336-Eingabe!$B$5)/(Eingabe!$B$6*7))+1))</f>
        <v/>
      </c>
      <c r="F336" s="8">
        <f>IF(A336="","",SUMPRODUCT((Eingabe!$B$16:$B$165&lt;&gt;"")*(Eingabe!$J$16:$J$165)*--(A336&gt;=Eingabe!$G$16:$G$165)*--(A336&lt;=Eingabe!$H$16:$H$165)*--(WEEKDAY(A336,2)&lt;=5)))</f>
        <v/>
      </c>
      <c r="G336" s="8">
        <f>IF(A336="","",SUM($F$2:F336))</f>
        <v/>
      </c>
      <c r="H336" s="8">
        <f>IF(A336="","",Eingabe!$B$7-G336)</f>
        <v/>
      </c>
      <c r="I336" s="8">
        <f>IF(A336="","",Eingabe!$B$8-SUMIFS($F$2:F336,$D$2:D336,D336))</f>
        <v/>
      </c>
      <c r="J336" s="8">
        <f>IF(A336="","",IF(E336="",1E+99,IFERROR(VLOOKUP(E336,Eingabe!$D$5:$E$44,2,FALSE),Eingabe!$B$9)))</f>
        <v/>
      </c>
      <c r="K336" s="8">
        <f>IF(A336="","",IF(E336="",1E+99,J336-SUMIFS($F$2:F336,$E$2:E336,E336)))</f>
        <v/>
      </c>
      <c r="L336" s="5">
        <f>IF(A336="","",IF(OR(H336&lt;0,I336&lt;0,K336&lt;0),"UNMOEGLICH","OK"))</f>
        <v/>
      </c>
    </row>
    <row r="337">
      <c r="A337" s="7">
        <f>IF(ROW()-1&lt;=Eingabe!$B$4-Eingabe!$B$3+1,Eingabe!$B$3+ROW()-2,"")</f>
        <v/>
      </c>
      <c r="B337" s="5">
        <f>IF(A337="","",TEXT(A337,"yyyy-mm-dd"))</f>
        <v/>
      </c>
      <c r="C337" s="5">
        <f>IF(A337="","",TEXT(A337,"ddd"))</f>
        <v/>
      </c>
      <c r="D337" s="5">
        <f>IF(A337="","",TEXT(A337,"yyyy-mm"))</f>
        <v/>
      </c>
      <c r="E337" s="5">
        <f>IF(A337="","",IF(A337&lt;Eingabe!$B$5,"",INT((A337-Eingabe!$B$5)/(Eingabe!$B$6*7))+1))</f>
        <v/>
      </c>
      <c r="F337" s="8">
        <f>IF(A337="","",SUMPRODUCT((Eingabe!$B$16:$B$165&lt;&gt;"")*(Eingabe!$J$16:$J$165)*--(A337&gt;=Eingabe!$G$16:$G$165)*--(A337&lt;=Eingabe!$H$16:$H$165)*--(WEEKDAY(A337,2)&lt;=5)))</f>
        <v/>
      </c>
      <c r="G337" s="8">
        <f>IF(A337="","",SUM($F$2:F337))</f>
        <v/>
      </c>
      <c r="H337" s="8">
        <f>IF(A337="","",Eingabe!$B$7-G337)</f>
        <v/>
      </c>
      <c r="I337" s="8">
        <f>IF(A337="","",Eingabe!$B$8-SUMIFS($F$2:F337,$D$2:D337,D337))</f>
        <v/>
      </c>
      <c r="J337" s="8">
        <f>IF(A337="","",IF(E337="",1E+99,IFERROR(VLOOKUP(E337,Eingabe!$D$5:$E$44,2,FALSE),Eingabe!$B$9)))</f>
        <v/>
      </c>
      <c r="K337" s="8">
        <f>IF(A337="","",IF(E337="",1E+99,J337-SUMIFS($F$2:F337,$E$2:E337,E337)))</f>
        <v/>
      </c>
      <c r="L337" s="5">
        <f>IF(A337="","",IF(OR(H337&lt;0,I337&lt;0,K337&lt;0),"UNMOEGLICH","OK"))</f>
        <v/>
      </c>
    </row>
    <row r="338">
      <c r="A338" s="7">
        <f>IF(ROW()-1&lt;=Eingabe!$B$4-Eingabe!$B$3+1,Eingabe!$B$3+ROW()-2,"")</f>
        <v/>
      </c>
      <c r="B338" s="5">
        <f>IF(A338="","",TEXT(A338,"yyyy-mm-dd"))</f>
        <v/>
      </c>
      <c r="C338" s="5">
        <f>IF(A338="","",TEXT(A338,"ddd"))</f>
        <v/>
      </c>
      <c r="D338" s="5">
        <f>IF(A338="","",TEXT(A338,"yyyy-mm"))</f>
        <v/>
      </c>
      <c r="E338" s="5">
        <f>IF(A338="","",IF(A338&lt;Eingabe!$B$5,"",INT((A338-Eingabe!$B$5)/(Eingabe!$B$6*7))+1))</f>
        <v/>
      </c>
      <c r="F338" s="8">
        <f>IF(A338="","",SUMPRODUCT((Eingabe!$B$16:$B$165&lt;&gt;"")*(Eingabe!$J$16:$J$165)*--(A338&gt;=Eingabe!$G$16:$G$165)*--(A338&lt;=Eingabe!$H$16:$H$165)*--(WEEKDAY(A338,2)&lt;=5)))</f>
        <v/>
      </c>
      <c r="G338" s="8">
        <f>IF(A338="","",SUM($F$2:F338))</f>
        <v/>
      </c>
      <c r="H338" s="8">
        <f>IF(A338="","",Eingabe!$B$7-G338)</f>
        <v/>
      </c>
      <c r="I338" s="8">
        <f>IF(A338="","",Eingabe!$B$8-SUMIFS($F$2:F338,$D$2:D338,D338))</f>
        <v/>
      </c>
      <c r="J338" s="8">
        <f>IF(A338="","",IF(E338="",1E+99,IFERROR(VLOOKUP(E338,Eingabe!$D$5:$E$44,2,FALSE),Eingabe!$B$9)))</f>
        <v/>
      </c>
      <c r="K338" s="8">
        <f>IF(A338="","",IF(E338="",1E+99,J338-SUMIFS($F$2:F338,$E$2:E338,E338)))</f>
        <v/>
      </c>
      <c r="L338" s="5">
        <f>IF(A338="","",IF(OR(H338&lt;0,I338&lt;0,K338&lt;0),"UNMOEGLICH","OK"))</f>
        <v/>
      </c>
    </row>
    <row r="339">
      <c r="A339" s="7">
        <f>IF(ROW()-1&lt;=Eingabe!$B$4-Eingabe!$B$3+1,Eingabe!$B$3+ROW()-2,"")</f>
        <v/>
      </c>
      <c r="B339" s="5">
        <f>IF(A339="","",TEXT(A339,"yyyy-mm-dd"))</f>
        <v/>
      </c>
      <c r="C339" s="5">
        <f>IF(A339="","",TEXT(A339,"ddd"))</f>
        <v/>
      </c>
      <c r="D339" s="5">
        <f>IF(A339="","",TEXT(A339,"yyyy-mm"))</f>
        <v/>
      </c>
      <c r="E339" s="5">
        <f>IF(A339="","",IF(A339&lt;Eingabe!$B$5,"",INT((A339-Eingabe!$B$5)/(Eingabe!$B$6*7))+1))</f>
        <v/>
      </c>
      <c r="F339" s="8">
        <f>IF(A339="","",SUMPRODUCT((Eingabe!$B$16:$B$165&lt;&gt;"")*(Eingabe!$J$16:$J$165)*--(A339&gt;=Eingabe!$G$16:$G$165)*--(A339&lt;=Eingabe!$H$16:$H$165)*--(WEEKDAY(A339,2)&lt;=5)))</f>
        <v/>
      </c>
      <c r="G339" s="8">
        <f>IF(A339="","",SUM($F$2:F339))</f>
        <v/>
      </c>
      <c r="H339" s="8">
        <f>IF(A339="","",Eingabe!$B$7-G339)</f>
        <v/>
      </c>
      <c r="I339" s="8">
        <f>IF(A339="","",Eingabe!$B$8-SUMIFS($F$2:F339,$D$2:D339,D339))</f>
        <v/>
      </c>
      <c r="J339" s="8">
        <f>IF(A339="","",IF(E339="",1E+99,IFERROR(VLOOKUP(E339,Eingabe!$D$5:$E$44,2,FALSE),Eingabe!$B$9)))</f>
        <v/>
      </c>
      <c r="K339" s="8">
        <f>IF(A339="","",IF(E339="",1E+99,J339-SUMIFS($F$2:F339,$E$2:E339,E339)))</f>
        <v/>
      </c>
      <c r="L339" s="5">
        <f>IF(A339="","",IF(OR(H339&lt;0,I339&lt;0,K339&lt;0),"UNMOEGLICH","OK"))</f>
        <v/>
      </c>
    </row>
    <row r="340">
      <c r="A340" s="7">
        <f>IF(ROW()-1&lt;=Eingabe!$B$4-Eingabe!$B$3+1,Eingabe!$B$3+ROW()-2,"")</f>
        <v/>
      </c>
      <c r="B340" s="5">
        <f>IF(A340="","",TEXT(A340,"yyyy-mm-dd"))</f>
        <v/>
      </c>
      <c r="C340" s="5">
        <f>IF(A340="","",TEXT(A340,"ddd"))</f>
        <v/>
      </c>
      <c r="D340" s="5">
        <f>IF(A340="","",TEXT(A340,"yyyy-mm"))</f>
        <v/>
      </c>
      <c r="E340" s="5">
        <f>IF(A340="","",IF(A340&lt;Eingabe!$B$5,"",INT((A340-Eingabe!$B$5)/(Eingabe!$B$6*7))+1))</f>
        <v/>
      </c>
      <c r="F340" s="8">
        <f>IF(A340="","",SUMPRODUCT((Eingabe!$B$16:$B$165&lt;&gt;"")*(Eingabe!$J$16:$J$165)*--(A340&gt;=Eingabe!$G$16:$G$165)*--(A340&lt;=Eingabe!$H$16:$H$165)*--(WEEKDAY(A340,2)&lt;=5)))</f>
        <v/>
      </c>
      <c r="G340" s="8">
        <f>IF(A340="","",SUM($F$2:F340))</f>
        <v/>
      </c>
      <c r="H340" s="8">
        <f>IF(A340="","",Eingabe!$B$7-G340)</f>
        <v/>
      </c>
      <c r="I340" s="8">
        <f>IF(A340="","",Eingabe!$B$8-SUMIFS($F$2:F340,$D$2:D340,D340))</f>
        <v/>
      </c>
      <c r="J340" s="8">
        <f>IF(A340="","",IF(E340="",1E+99,IFERROR(VLOOKUP(E340,Eingabe!$D$5:$E$44,2,FALSE),Eingabe!$B$9)))</f>
        <v/>
      </c>
      <c r="K340" s="8">
        <f>IF(A340="","",IF(E340="",1E+99,J340-SUMIFS($F$2:F340,$E$2:E340,E340)))</f>
        <v/>
      </c>
      <c r="L340" s="5">
        <f>IF(A340="","",IF(OR(H340&lt;0,I340&lt;0,K340&lt;0),"UNMOEGLICH","OK"))</f>
        <v/>
      </c>
    </row>
    <row r="341">
      <c r="A341" s="7">
        <f>IF(ROW()-1&lt;=Eingabe!$B$4-Eingabe!$B$3+1,Eingabe!$B$3+ROW()-2,"")</f>
        <v/>
      </c>
      <c r="B341" s="5">
        <f>IF(A341="","",TEXT(A341,"yyyy-mm-dd"))</f>
        <v/>
      </c>
      <c r="C341" s="5">
        <f>IF(A341="","",TEXT(A341,"ddd"))</f>
        <v/>
      </c>
      <c r="D341" s="5">
        <f>IF(A341="","",TEXT(A341,"yyyy-mm"))</f>
        <v/>
      </c>
      <c r="E341" s="5">
        <f>IF(A341="","",IF(A341&lt;Eingabe!$B$5,"",INT((A341-Eingabe!$B$5)/(Eingabe!$B$6*7))+1))</f>
        <v/>
      </c>
      <c r="F341" s="8">
        <f>IF(A341="","",SUMPRODUCT((Eingabe!$B$16:$B$165&lt;&gt;"")*(Eingabe!$J$16:$J$165)*--(A341&gt;=Eingabe!$G$16:$G$165)*--(A341&lt;=Eingabe!$H$16:$H$165)*--(WEEKDAY(A341,2)&lt;=5)))</f>
        <v/>
      </c>
      <c r="G341" s="8">
        <f>IF(A341="","",SUM($F$2:F341))</f>
        <v/>
      </c>
      <c r="H341" s="8">
        <f>IF(A341="","",Eingabe!$B$7-G341)</f>
        <v/>
      </c>
      <c r="I341" s="8">
        <f>IF(A341="","",Eingabe!$B$8-SUMIFS($F$2:F341,$D$2:D341,D341))</f>
        <v/>
      </c>
      <c r="J341" s="8">
        <f>IF(A341="","",IF(E341="",1E+99,IFERROR(VLOOKUP(E341,Eingabe!$D$5:$E$44,2,FALSE),Eingabe!$B$9)))</f>
        <v/>
      </c>
      <c r="K341" s="8">
        <f>IF(A341="","",IF(E341="",1E+99,J341-SUMIFS($F$2:F341,$E$2:E341,E341)))</f>
        <v/>
      </c>
      <c r="L341" s="5">
        <f>IF(A341="","",IF(OR(H341&lt;0,I341&lt;0,K341&lt;0),"UNMOEGLICH","OK"))</f>
        <v/>
      </c>
    </row>
    <row r="342">
      <c r="A342" s="7">
        <f>IF(ROW()-1&lt;=Eingabe!$B$4-Eingabe!$B$3+1,Eingabe!$B$3+ROW()-2,"")</f>
        <v/>
      </c>
      <c r="B342" s="5">
        <f>IF(A342="","",TEXT(A342,"yyyy-mm-dd"))</f>
        <v/>
      </c>
      <c r="C342" s="5">
        <f>IF(A342="","",TEXT(A342,"ddd"))</f>
        <v/>
      </c>
      <c r="D342" s="5">
        <f>IF(A342="","",TEXT(A342,"yyyy-mm"))</f>
        <v/>
      </c>
      <c r="E342" s="5">
        <f>IF(A342="","",IF(A342&lt;Eingabe!$B$5,"",INT((A342-Eingabe!$B$5)/(Eingabe!$B$6*7))+1))</f>
        <v/>
      </c>
      <c r="F342" s="8">
        <f>IF(A342="","",SUMPRODUCT((Eingabe!$B$16:$B$165&lt;&gt;"")*(Eingabe!$J$16:$J$165)*--(A342&gt;=Eingabe!$G$16:$G$165)*--(A342&lt;=Eingabe!$H$16:$H$165)*--(WEEKDAY(A342,2)&lt;=5)))</f>
        <v/>
      </c>
      <c r="G342" s="8">
        <f>IF(A342="","",SUM($F$2:F342))</f>
        <v/>
      </c>
      <c r="H342" s="8">
        <f>IF(A342="","",Eingabe!$B$7-G342)</f>
        <v/>
      </c>
      <c r="I342" s="8">
        <f>IF(A342="","",Eingabe!$B$8-SUMIFS($F$2:F342,$D$2:D342,D342))</f>
        <v/>
      </c>
      <c r="J342" s="8">
        <f>IF(A342="","",IF(E342="",1E+99,IFERROR(VLOOKUP(E342,Eingabe!$D$5:$E$44,2,FALSE),Eingabe!$B$9)))</f>
        <v/>
      </c>
      <c r="K342" s="8">
        <f>IF(A342="","",IF(E342="",1E+99,J342-SUMIFS($F$2:F342,$E$2:E342,E342)))</f>
        <v/>
      </c>
      <c r="L342" s="5">
        <f>IF(A342="","",IF(OR(H342&lt;0,I342&lt;0,K342&lt;0),"UNMOEGLICH","OK"))</f>
        <v/>
      </c>
    </row>
    <row r="343">
      <c r="A343" s="7">
        <f>IF(ROW()-1&lt;=Eingabe!$B$4-Eingabe!$B$3+1,Eingabe!$B$3+ROW()-2,"")</f>
        <v/>
      </c>
      <c r="B343" s="5">
        <f>IF(A343="","",TEXT(A343,"yyyy-mm-dd"))</f>
        <v/>
      </c>
      <c r="C343" s="5">
        <f>IF(A343="","",TEXT(A343,"ddd"))</f>
        <v/>
      </c>
      <c r="D343" s="5">
        <f>IF(A343="","",TEXT(A343,"yyyy-mm"))</f>
        <v/>
      </c>
      <c r="E343" s="5">
        <f>IF(A343="","",IF(A343&lt;Eingabe!$B$5,"",INT((A343-Eingabe!$B$5)/(Eingabe!$B$6*7))+1))</f>
        <v/>
      </c>
      <c r="F343" s="8">
        <f>IF(A343="","",SUMPRODUCT((Eingabe!$B$16:$B$165&lt;&gt;"")*(Eingabe!$J$16:$J$165)*--(A343&gt;=Eingabe!$G$16:$G$165)*--(A343&lt;=Eingabe!$H$16:$H$165)*--(WEEKDAY(A343,2)&lt;=5)))</f>
        <v/>
      </c>
      <c r="G343" s="8">
        <f>IF(A343="","",SUM($F$2:F343))</f>
        <v/>
      </c>
      <c r="H343" s="8">
        <f>IF(A343="","",Eingabe!$B$7-G343)</f>
        <v/>
      </c>
      <c r="I343" s="8">
        <f>IF(A343="","",Eingabe!$B$8-SUMIFS($F$2:F343,$D$2:D343,D343))</f>
        <v/>
      </c>
      <c r="J343" s="8">
        <f>IF(A343="","",IF(E343="",1E+99,IFERROR(VLOOKUP(E343,Eingabe!$D$5:$E$44,2,FALSE),Eingabe!$B$9)))</f>
        <v/>
      </c>
      <c r="K343" s="8">
        <f>IF(A343="","",IF(E343="",1E+99,J343-SUMIFS($F$2:F343,$E$2:E343,E343)))</f>
        <v/>
      </c>
      <c r="L343" s="5">
        <f>IF(A343="","",IF(OR(H343&lt;0,I343&lt;0,K343&lt;0),"UNMOEGLICH","OK"))</f>
        <v/>
      </c>
    </row>
    <row r="344">
      <c r="A344" s="7">
        <f>IF(ROW()-1&lt;=Eingabe!$B$4-Eingabe!$B$3+1,Eingabe!$B$3+ROW()-2,"")</f>
        <v/>
      </c>
      <c r="B344" s="5">
        <f>IF(A344="","",TEXT(A344,"yyyy-mm-dd"))</f>
        <v/>
      </c>
      <c r="C344" s="5">
        <f>IF(A344="","",TEXT(A344,"ddd"))</f>
        <v/>
      </c>
      <c r="D344" s="5">
        <f>IF(A344="","",TEXT(A344,"yyyy-mm"))</f>
        <v/>
      </c>
      <c r="E344" s="5">
        <f>IF(A344="","",IF(A344&lt;Eingabe!$B$5,"",INT((A344-Eingabe!$B$5)/(Eingabe!$B$6*7))+1))</f>
        <v/>
      </c>
      <c r="F344" s="8">
        <f>IF(A344="","",SUMPRODUCT((Eingabe!$B$16:$B$165&lt;&gt;"")*(Eingabe!$J$16:$J$165)*--(A344&gt;=Eingabe!$G$16:$G$165)*--(A344&lt;=Eingabe!$H$16:$H$165)*--(WEEKDAY(A344,2)&lt;=5)))</f>
        <v/>
      </c>
      <c r="G344" s="8">
        <f>IF(A344="","",SUM($F$2:F344))</f>
        <v/>
      </c>
      <c r="H344" s="8">
        <f>IF(A344="","",Eingabe!$B$7-G344)</f>
        <v/>
      </c>
      <c r="I344" s="8">
        <f>IF(A344="","",Eingabe!$B$8-SUMIFS($F$2:F344,$D$2:D344,D344))</f>
        <v/>
      </c>
      <c r="J344" s="8">
        <f>IF(A344="","",IF(E344="",1E+99,IFERROR(VLOOKUP(E344,Eingabe!$D$5:$E$44,2,FALSE),Eingabe!$B$9)))</f>
        <v/>
      </c>
      <c r="K344" s="8">
        <f>IF(A344="","",IF(E344="",1E+99,J344-SUMIFS($F$2:F344,$E$2:E344,E344)))</f>
        <v/>
      </c>
      <c r="L344" s="5">
        <f>IF(A344="","",IF(OR(H344&lt;0,I344&lt;0,K344&lt;0),"UNMOEGLICH","OK"))</f>
        <v/>
      </c>
    </row>
    <row r="345">
      <c r="A345" s="7">
        <f>IF(ROW()-1&lt;=Eingabe!$B$4-Eingabe!$B$3+1,Eingabe!$B$3+ROW()-2,"")</f>
        <v/>
      </c>
      <c r="B345" s="5">
        <f>IF(A345="","",TEXT(A345,"yyyy-mm-dd"))</f>
        <v/>
      </c>
      <c r="C345" s="5">
        <f>IF(A345="","",TEXT(A345,"ddd"))</f>
        <v/>
      </c>
      <c r="D345" s="5">
        <f>IF(A345="","",TEXT(A345,"yyyy-mm"))</f>
        <v/>
      </c>
      <c r="E345" s="5">
        <f>IF(A345="","",IF(A345&lt;Eingabe!$B$5,"",INT((A345-Eingabe!$B$5)/(Eingabe!$B$6*7))+1))</f>
        <v/>
      </c>
      <c r="F345" s="8">
        <f>IF(A345="","",SUMPRODUCT((Eingabe!$B$16:$B$165&lt;&gt;"")*(Eingabe!$J$16:$J$165)*--(A345&gt;=Eingabe!$G$16:$G$165)*--(A345&lt;=Eingabe!$H$16:$H$165)*--(WEEKDAY(A345,2)&lt;=5)))</f>
        <v/>
      </c>
      <c r="G345" s="8">
        <f>IF(A345="","",SUM($F$2:F345))</f>
        <v/>
      </c>
      <c r="H345" s="8">
        <f>IF(A345="","",Eingabe!$B$7-G345)</f>
        <v/>
      </c>
      <c r="I345" s="8">
        <f>IF(A345="","",Eingabe!$B$8-SUMIFS($F$2:F345,$D$2:D345,D345))</f>
        <v/>
      </c>
      <c r="J345" s="8">
        <f>IF(A345="","",IF(E345="",1E+99,IFERROR(VLOOKUP(E345,Eingabe!$D$5:$E$44,2,FALSE),Eingabe!$B$9)))</f>
        <v/>
      </c>
      <c r="K345" s="8">
        <f>IF(A345="","",IF(E345="",1E+99,J345-SUMIFS($F$2:F345,$E$2:E345,E345)))</f>
        <v/>
      </c>
      <c r="L345" s="5">
        <f>IF(A345="","",IF(OR(H345&lt;0,I345&lt;0,K345&lt;0),"UNMOEGLICH","OK"))</f>
        <v/>
      </c>
    </row>
    <row r="346">
      <c r="A346" s="7">
        <f>IF(ROW()-1&lt;=Eingabe!$B$4-Eingabe!$B$3+1,Eingabe!$B$3+ROW()-2,"")</f>
        <v/>
      </c>
      <c r="B346" s="5">
        <f>IF(A346="","",TEXT(A346,"yyyy-mm-dd"))</f>
        <v/>
      </c>
      <c r="C346" s="5">
        <f>IF(A346="","",TEXT(A346,"ddd"))</f>
        <v/>
      </c>
      <c r="D346" s="5">
        <f>IF(A346="","",TEXT(A346,"yyyy-mm"))</f>
        <v/>
      </c>
      <c r="E346" s="5">
        <f>IF(A346="","",IF(A346&lt;Eingabe!$B$5,"",INT((A346-Eingabe!$B$5)/(Eingabe!$B$6*7))+1))</f>
        <v/>
      </c>
      <c r="F346" s="8">
        <f>IF(A346="","",SUMPRODUCT((Eingabe!$B$16:$B$165&lt;&gt;"")*(Eingabe!$J$16:$J$165)*--(A346&gt;=Eingabe!$G$16:$G$165)*--(A346&lt;=Eingabe!$H$16:$H$165)*--(WEEKDAY(A346,2)&lt;=5)))</f>
        <v/>
      </c>
      <c r="G346" s="8">
        <f>IF(A346="","",SUM($F$2:F346))</f>
        <v/>
      </c>
      <c r="H346" s="8">
        <f>IF(A346="","",Eingabe!$B$7-G346)</f>
        <v/>
      </c>
      <c r="I346" s="8">
        <f>IF(A346="","",Eingabe!$B$8-SUMIFS($F$2:F346,$D$2:D346,D346))</f>
        <v/>
      </c>
      <c r="J346" s="8">
        <f>IF(A346="","",IF(E346="",1E+99,IFERROR(VLOOKUP(E346,Eingabe!$D$5:$E$44,2,FALSE),Eingabe!$B$9)))</f>
        <v/>
      </c>
      <c r="K346" s="8">
        <f>IF(A346="","",IF(E346="",1E+99,J346-SUMIFS($F$2:F346,$E$2:E346,E346)))</f>
        <v/>
      </c>
      <c r="L346" s="5">
        <f>IF(A346="","",IF(OR(H346&lt;0,I346&lt;0,K346&lt;0),"UNMOEGLICH","OK"))</f>
        <v/>
      </c>
    </row>
    <row r="347">
      <c r="A347" s="7">
        <f>IF(ROW()-1&lt;=Eingabe!$B$4-Eingabe!$B$3+1,Eingabe!$B$3+ROW()-2,"")</f>
        <v/>
      </c>
      <c r="B347" s="5">
        <f>IF(A347="","",TEXT(A347,"yyyy-mm-dd"))</f>
        <v/>
      </c>
      <c r="C347" s="5">
        <f>IF(A347="","",TEXT(A347,"ddd"))</f>
        <v/>
      </c>
      <c r="D347" s="5">
        <f>IF(A347="","",TEXT(A347,"yyyy-mm"))</f>
        <v/>
      </c>
      <c r="E347" s="5">
        <f>IF(A347="","",IF(A347&lt;Eingabe!$B$5,"",INT((A347-Eingabe!$B$5)/(Eingabe!$B$6*7))+1))</f>
        <v/>
      </c>
      <c r="F347" s="8">
        <f>IF(A347="","",SUMPRODUCT((Eingabe!$B$16:$B$165&lt;&gt;"")*(Eingabe!$J$16:$J$165)*--(A347&gt;=Eingabe!$G$16:$G$165)*--(A347&lt;=Eingabe!$H$16:$H$165)*--(WEEKDAY(A347,2)&lt;=5)))</f>
        <v/>
      </c>
      <c r="G347" s="8">
        <f>IF(A347="","",SUM($F$2:F347))</f>
        <v/>
      </c>
      <c r="H347" s="8">
        <f>IF(A347="","",Eingabe!$B$7-G347)</f>
        <v/>
      </c>
      <c r="I347" s="8">
        <f>IF(A347="","",Eingabe!$B$8-SUMIFS($F$2:F347,$D$2:D347,D347))</f>
        <v/>
      </c>
      <c r="J347" s="8">
        <f>IF(A347="","",IF(E347="",1E+99,IFERROR(VLOOKUP(E347,Eingabe!$D$5:$E$44,2,FALSE),Eingabe!$B$9)))</f>
        <v/>
      </c>
      <c r="K347" s="8">
        <f>IF(A347="","",IF(E347="",1E+99,J347-SUMIFS($F$2:F347,$E$2:E347,E347)))</f>
        <v/>
      </c>
      <c r="L347" s="5">
        <f>IF(A347="","",IF(OR(H347&lt;0,I347&lt;0,K347&lt;0),"UNMOEGLICH","OK"))</f>
        <v/>
      </c>
    </row>
    <row r="348">
      <c r="A348" s="7">
        <f>IF(ROW()-1&lt;=Eingabe!$B$4-Eingabe!$B$3+1,Eingabe!$B$3+ROW()-2,"")</f>
        <v/>
      </c>
      <c r="B348" s="5">
        <f>IF(A348="","",TEXT(A348,"yyyy-mm-dd"))</f>
        <v/>
      </c>
      <c r="C348" s="5">
        <f>IF(A348="","",TEXT(A348,"ddd"))</f>
        <v/>
      </c>
      <c r="D348" s="5">
        <f>IF(A348="","",TEXT(A348,"yyyy-mm"))</f>
        <v/>
      </c>
      <c r="E348" s="5">
        <f>IF(A348="","",IF(A348&lt;Eingabe!$B$5,"",INT((A348-Eingabe!$B$5)/(Eingabe!$B$6*7))+1))</f>
        <v/>
      </c>
      <c r="F348" s="8">
        <f>IF(A348="","",SUMPRODUCT((Eingabe!$B$16:$B$165&lt;&gt;"")*(Eingabe!$J$16:$J$165)*--(A348&gt;=Eingabe!$G$16:$G$165)*--(A348&lt;=Eingabe!$H$16:$H$165)*--(WEEKDAY(A348,2)&lt;=5)))</f>
        <v/>
      </c>
      <c r="G348" s="8">
        <f>IF(A348="","",SUM($F$2:F348))</f>
        <v/>
      </c>
      <c r="H348" s="8">
        <f>IF(A348="","",Eingabe!$B$7-G348)</f>
        <v/>
      </c>
      <c r="I348" s="8">
        <f>IF(A348="","",Eingabe!$B$8-SUMIFS($F$2:F348,$D$2:D348,D348))</f>
        <v/>
      </c>
      <c r="J348" s="8">
        <f>IF(A348="","",IF(E348="",1E+99,IFERROR(VLOOKUP(E348,Eingabe!$D$5:$E$44,2,FALSE),Eingabe!$B$9)))</f>
        <v/>
      </c>
      <c r="K348" s="8">
        <f>IF(A348="","",IF(E348="",1E+99,J348-SUMIFS($F$2:F348,$E$2:E348,E348)))</f>
        <v/>
      </c>
      <c r="L348" s="5">
        <f>IF(A348="","",IF(OR(H348&lt;0,I348&lt;0,K348&lt;0),"UNMOEGLICH","OK"))</f>
        <v/>
      </c>
    </row>
    <row r="349">
      <c r="A349" s="7">
        <f>IF(ROW()-1&lt;=Eingabe!$B$4-Eingabe!$B$3+1,Eingabe!$B$3+ROW()-2,"")</f>
        <v/>
      </c>
      <c r="B349" s="5">
        <f>IF(A349="","",TEXT(A349,"yyyy-mm-dd"))</f>
        <v/>
      </c>
      <c r="C349" s="5">
        <f>IF(A349="","",TEXT(A349,"ddd"))</f>
        <v/>
      </c>
      <c r="D349" s="5">
        <f>IF(A349="","",TEXT(A349,"yyyy-mm"))</f>
        <v/>
      </c>
      <c r="E349" s="5">
        <f>IF(A349="","",IF(A349&lt;Eingabe!$B$5,"",INT((A349-Eingabe!$B$5)/(Eingabe!$B$6*7))+1))</f>
        <v/>
      </c>
      <c r="F349" s="8">
        <f>IF(A349="","",SUMPRODUCT((Eingabe!$B$16:$B$165&lt;&gt;"")*(Eingabe!$J$16:$J$165)*--(A349&gt;=Eingabe!$G$16:$G$165)*--(A349&lt;=Eingabe!$H$16:$H$165)*--(WEEKDAY(A349,2)&lt;=5)))</f>
        <v/>
      </c>
      <c r="G349" s="8">
        <f>IF(A349="","",SUM($F$2:F349))</f>
        <v/>
      </c>
      <c r="H349" s="8">
        <f>IF(A349="","",Eingabe!$B$7-G349)</f>
        <v/>
      </c>
      <c r="I349" s="8">
        <f>IF(A349="","",Eingabe!$B$8-SUMIFS($F$2:F349,$D$2:D349,D349))</f>
        <v/>
      </c>
      <c r="J349" s="8">
        <f>IF(A349="","",IF(E349="",1E+99,IFERROR(VLOOKUP(E349,Eingabe!$D$5:$E$44,2,FALSE),Eingabe!$B$9)))</f>
        <v/>
      </c>
      <c r="K349" s="8">
        <f>IF(A349="","",IF(E349="",1E+99,J349-SUMIFS($F$2:F349,$E$2:E349,E349)))</f>
        <v/>
      </c>
      <c r="L349" s="5">
        <f>IF(A349="","",IF(OR(H349&lt;0,I349&lt;0,K349&lt;0),"UNMOEGLICH","OK"))</f>
        <v/>
      </c>
    </row>
    <row r="350">
      <c r="A350" s="7">
        <f>IF(ROW()-1&lt;=Eingabe!$B$4-Eingabe!$B$3+1,Eingabe!$B$3+ROW()-2,"")</f>
        <v/>
      </c>
      <c r="B350" s="5">
        <f>IF(A350="","",TEXT(A350,"yyyy-mm-dd"))</f>
        <v/>
      </c>
      <c r="C350" s="5">
        <f>IF(A350="","",TEXT(A350,"ddd"))</f>
        <v/>
      </c>
      <c r="D350" s="5">
        <f>IF(A350="","",TEXT(A350,"yyyy-mm"))</f>
        <v/>
      </c>
      <c r="E350" s="5">
        <f>IF(A350="","",IF(A350&lt;Eingabe!$B$5,"",INT((A350-Eingabe!$B$5)/(Eingabe!$B$6*7))+1))</f>
        <v/>
      </c>
      <c r="F350" s="8">
        <f>IF(A350="","",SUMPRODUCT((Eingabe!$B$16:$B$165&lt;&gt;"")*(Eingabe!$J$16:$J$165)*--(A350&gt;=Eingabe!$G$16:$G$165)*--(A350&lt;=Eingabe!$H$16:$H$165)*--(WEEKDAY(A350,2)&lt;=5)))</f>
        <v/>
      </c>
      <c r="G350" s="8">
        <f>IF(A350="","",SUM($F$2:F350))</f>
        <v/>
      </c>
      <c r="H350" s="8">
        <f>IF(A350="","",Eingabe!$B$7-G350)</f>
        <v/>
      </c>
      <c r="I350" s="8">
        <f>IF(A350="","",Eingabe!$B$8-SUMIFS($F$2:F350,$D$2:D350,D350))</f>
        <v/>
      </c>
      <c r="J350" s="8">
        <f>IF(A350="","",IF(E350="",1E+99,IFERROR(VLOOKUP(E350,Eingabe!$D$5:$E$44,2,FALSE),Eingabe!$B$9)))</f>
        <v/>
      </c>
      <c r="K350" s="8">
        <f>IF(A350="","",IF(E350="",1E+99,J350-SUMIFS($F$2:F350,$E$2:E350,E350)))</f>
        <v/>
      </c>
      <c r="L350" s="5">
        <f>IF(A350="","",IF(OR(H350&lt;0,I350&lt;0,K350&lt;0),"UNMOEGLICH","OK"))</f>
        <v/>
      </c>
    </row>
    <row r="351">
      <c r="A351" s="7">
        <f>IF(ROW()-1&lt;=Eingabe!$B$4-Eingabe!$B$3+1,Eingabe!$B$3+ROW()-2,"")</f>
        <v/>
      </c>
      <c r="B351" s="5">
        <f>IF(A351="","",TEXT(A351,"yyyy-mm-dd"))</f>
        <v/>
      </c>
      <c r="C351" s="5">
        <f>IF(A351="","",TEXT(A351,"ddd"))</f>
        <v/>
      </c>
      <c r="D351" s="5">
        <f>IF(A351="","",TEXT(A351,"yyyy-mm"))</f>
        <v/>
      </c>
      <c r="E351" s="5">
        <f>IF(A351="","",IF(A351&lt;Eingabe!$B$5,"",INT((A351-Eingabe!$B$5)/(Eingabe!$B$6*7))+1))</f>
        <v/>
      </c>
      <c r="F351" s="8">
        <f>IF(A351="","",SUMPRODUCT((Eingabe!$B$16:$B$165&lt;&gt;"")*(Eingabe!$J$16:$J$165)*--(A351&gt;=Eingabe!$G$16:$G$165)*--(A351&lt;=Eingabe!$H$16:$H$165)*--(WEEKDAY(A351,2)&lt;=5)))</f>
        <v/>
      </c>
      <c r="G351" s="8">
        <f>IF(A351="","",SUM($F$2:F351))</f>
        <v/>
      </c>
      <c r="H351" s="8">
        <f>IF(A351="","",Eingabe!$B$7-G351)</f>
        <v/>
      </c>
      <c r="I351" s="8">
        <f>IF(A351="","",Eingabe!$B$8-SUMIFS($F$2:F351,$D$2:D351,D351))</f>
        <v/>
      </c>
      <c r="J351" s="8">
        <f>IF(A351="","",IF(E351="",1E+99,IFERROR(VLOOKUP(E351,Eingabe!$D$5:$E$44,2,FALSE),Eingabe!$B$9)))</f>
        <v/>
      </c>
      <c r="K351" s="8">
        <f>IF(A351="","",IF(E351="",1E+99,J351-SUMIFS($F$2:F351,$E$2:E351,E351)))</f>
        <v/>
      </c>
      <c r="L351" s="5">
        <f>IF(A351="","",IF(OR(H351&lt;0,I351&lt;0,K351&lt;0),"UNMOEGLICH","OK"))</f>
        <v/>
      </c>
    </row>
    <row r="352">
      <c r="A352" s="7">
        <f>IF(ROW()-1&lt;=Eingabe!$B$4-Eingabe!$B$3+1,Eingabe!$B$3+ROW()-2,"")</f>
        <v/>
      </c>
      <c r="B352" s="5">
        <f>IF(A352="","",TEXT(A352,"yyyy-mm-dd"))</f>
        <v/>
      </c>
      <c r="C352" s="5">
        <f>IF(A352="","",TEXT(A352,"ddd"))</f>
        <v/>
      </c>
      <c r="D352" s="5">
        <f>IF(A352="","",TEXT(A352,"yyyy-mm"))</f>
        <v/>
      </c>
      <c r="E352" s="5">
        <f>IF(A352="","",IF(A352&lt;Eingabe!$B$5,"",INT((A352-Eingabe!$B$5)/(Eingabe!$B$6*7))+1))</f>
        <v/>
      </c>
      <c r="F352" s="8">
        <f>IF(A352="","",SUMPRODUCT((Eingabe!$B$16:$B$165&lt;&gt;"")*(Eingabe!$J$16:$J$165)*--(A352&gt;=Eingabe!$G$16:$G$165)*--(A352&lt;=Eingabe!$H$16:$H$165)*--(WEEKDAY(A352,2)&lt;=5)))</f>
        <v/>
      </c>
      <c r="G352" s="8">
        <f>IF(A352="","",SUM($F$2:F352))</f>
        <v/>
      </c>
      <c r="H352" s="8">
        <f>IF(A352="","",Eingabe!$B$7-G352)</f>
        <v/>
      </c>
      <c r="I352" s="8">
        <f>IF(A352="","",Eingabe!$B$8-SUMIFS($F$2:F352,$D$2:D352,D352))</f>
        <v/>
      </c>
      <c r="J352" s="8">
        <f>IF(A352="","",IF(E352="",1E+99,IFERROR(VLOOKUP(E352,Eingabe!$D$5:$E$44,2,FALSE),Eingabe!$B$9)))</f>
        <v/>
      </c>
      <c r="K352" s="8">
        <f>IF(A352="","",IF(E352="",1E+99,J352-SUMIFS($F$2:F352,$E$2:E352,E352)))</f>
        <v/>
      </c>
      <c r="L352" s="5">
        <f>IF(A352="","",IF(OR(H352&lt;0,I352&lt;0,K352&lt;0),"UNMOEGLICH","OK"))</f>
        <v/>
      </c>
    </row>
    <row r="353">
      <c r="A353" s="7">
        <f>IF(ROW()-1&lt;=Eingabe!$B$4-Eingabe!$B$3+1,Eingabe!$B$3+ROW()-2,"")</f>
        <v/>
      </c>
      <c r="B353" s="5">
        <f>IF(A353="","",TEXT(A353,"yyyy-mm-dd"))</f>
        <v/>
      </c>
      <c r="C353" s="5">
        <f>IF(A353="","",TEXT(A353,"ddd"))</f>
        <v/>
      </c>
      <c r="D353" s="5">
        <f>IF(A353="","",TEXT(A353,"yyyy-mm"))</f>
        <v/>
      </c>
      <c r="E353" s="5">
        <f>IF(A353="","",IF(A353&lt;Eingabe!$B$5,"",INT((A353-Eingabe!$B$5)/(Eingabe!$B$6*7))+1))</f>
        <v/>
      </c>
      <c r="F353" s="8">
        <f>IF(A353="","",SUMPRODUCT((Eingabe!$B$16:$B$165&lt;&gt;"")*(Eingabe!$J$16:$J$165)*--(A353&gt;=Eingabe!$G$16:$G$165)*--(A353&lt;=Eingabe!$H$16:$H$165)*--(WEEKDAY(A353,2)&lt;=5)))</f>
        <v/>
      </c>
      <c r="G353" s="8">
        <f>IF(A353="","",SUM($F$2:F353))</f>
        <v/>
      </c>
      <c r="H353" s="8">
        <f>IF(A353="","",Eingabe!$B$7-G353)</f>
        <v/>
      </c>
      <c r="I353" s="8">
        <f>IF(A353="","",Eingabe!$B$8-SUMIFS($F$2:F353,$D$2:D353,D353))</f>
        <v/>
      </c>
      <c r="J353" s="8">
        <f>IF(A353="","",IF(E353="",1E+99,IFERROR(VLOOKUP(E353,Eingabe!$D$5:$E$44,2,FALSE),Eingabe!$B$9)))</f>
        <v/>
      </c>
      <c r="K353" s="8">
        <f>IF(A353="","",IF(E353="",1E+99,J353-SUMIFS($F$2:F353,$E$2:E353,E353)))</f>
        <v/>
      </c>
      <c r="L353" s="5">
        <f>IF(A353="","",IF(OR(H353&lt;0,I353&lt;0,K353&lt;0),"UNMOEGLICH","OK"))</f>
        <v/>
      </c>
    </row>
    <row r="354">
      <c r="A354" s="7">
        <f>IF(ROW()-1&lt;=Eingabe!$B$4-Eingabe!$B$3+1,Eingabe!$B$3+ROW()-2,"")</f>
        <v/>
      </c>
      <c r="B354" s="5">
        <f>IF(A354="","",TEXT(A354,"yyyy-mm-dd"))</f>
        <v/>
      </c>
      <c r="C354" s="5">
        <f>IF(A354="","",TEXT(A354,"ddd"))</f>
        <v/>
      </c>
      <c r="D354" s="5">
        <f>IF(A354="","",TEXT(A354,"yyyy-mm"))</f>
        <v/>
      </c>
      <c r="E354" s="5">
        <f>IF(A354="","",IF(A354&lt;Eingabe!$B$5,"",INT((A354-Eingabe!$B$5)/(Eingabe!$B$6*7))+1))</f>
        <v/>
      </c>
      <c r="F354" s="8">
        <f>IF(A354="","",SUMPRODUCT((Eingabe!$B$16:$B$165&lt;&gt;"")*(Eingabe!$J$16:$J$165)*--(A354&gt;=Eingabe!$G$16:$G$165)*--(A354&lt;=Eingabe!$H$16:$H$165)*--(WEEKDAY(A354,2)&lt;=5)))</f>
        <v/>
      </c>
      <c r="G354" s="8">
        <f>IF(A354="","",SUM($F$2:F354))</f>
        <v/>
      </c>
      <c r="H354" s="8">
        <f>IF(A354="","",Eingabe!$B$7-G354)</f>
        <v/>
      </c>
      <c r="I354" s="8">
        <f>IF(A354="","",Eingabe!$B$8-SUMIFS($F$2:F354,$D$2:D354,D354))</f>
        <v/>
      </c>
      <c r="J354" s="8">
        <f>IF(A354="","",IF(E354="",1E+99,IFERROR(VLOOKUP(E354,Eingabe!$D$5:$E$44,2,FALSE),Eingabe!$B$9)))</f>
        <v/>
      </c>
      <c r="K354" s="8">
        <f>IF(A354="","",IF(E354="",1E+99,J354-SUMIFS($F$2:F354,$E$2:E354,E354)))</f>
        <v/>
      </c>
      <c r="L354" s="5">
        <f>IF(A354="","",IF(OR(H354&lt;0,I354&lt;0,K354&lt;0),"UNMOEGLICH","OK"))</f>
        <v/>
      </c>
    </row>
    <row r="355">
      <c r="A355" s="7">
        <f>IF(ROW()-1&lt;=Eingabe!$B$4-Eingabe!$B$3+1,Eingabe!$B$3+ROW()-2,"")</f>
        <v/>
      </c>
      <c r="B355" s="5">
        <f>IF(A355="","",TEXT(A355,"yyyy-mm-dd"))</f>
        <v/>
      </c>
      <c r="C355" s="5">
        <f>IF(A355="","",TEXT(A355,"ddd"))</f>
        <v/>
      </c>
      <c r="D355" s="5">
        <f>IF(A355="","",TEXT(A355,"yyyy-mm"))</f>
        <v/>
      </c>
      <c r="E355" s="5">
        <f>IF(A355="","",IF(A355&lt;Eingabe!$B$5,"",INT((A355-Eingabe!$B$5)/(Eingabe!$B$6*7))+1))</f>
        <v/>
      </c>
      <c r="F355" s="8">
        <f>IF(A355="","",SUMPRODUCT((Eingabe!$B$16:$B$165&lt;&gt;"")*(Eingabe!$J$16:$J$165)*--(A355&gt;=Eingabe!$G$16:$G$165)*--(A355&lt;=Eingabe!$H$16:$H$165)*--(WEEKDAY(A355,2)&lt;=5)))</f>
        <v/>
      </c>
      <c r="G355" s="8">
        <f>IF(A355="","",SUM($F$2:F355))</f>
        <v/>
      </c>
      <c r="H355" s="8">
        <f>IF(A355="","",Eingabe!$B$7-G355)</f>
        <v/>
      </c>
      <c r="I355" s="8">
        <f>IF(A355="","",Eingabe!$B$8-SUMIFS($F$2:F355,$D$2:D355,D355))</f>
        <v/>
      </c>
      <c r="J355" s="8">
        <f>IF(A355="","",IF(E355="",1E+99,IFERROR(VLOOKUP(E355,Eingabe!$D$5:$E$44,2,FALSE),Eingabe!$B$9)))</f>
        <v/>
      </c>
      <c r="K355" s="8">
        <f>IF(A355="","",IF(E355="",1E+99,J355-SUMIFS($F$2:F355,$E$2:E355,E355)))</f>
        <v/>
      </c>
      <c r="L355" s="5">
        <f>IF(A355="","",IF(OR(H355&lt;0,I355&lt;0,K355&lt;0),"UNMOEGLICH","OK"))</f>
        <v/>
      </c>
    </row>
    <row r="356">
      <c r="A356" s="7">
        <f>IF(ROW()-1&lt;=Eingabe!$B$4-Eingabe!$B$3+1,Eingabe!$B$3+ROW()-2,"")</f>
        <v/>
      </c>
      <c r="B356" s="5">
        <f>IF(A356="","",TEXT(A356,"yyyy-mm-dd"))</f>
        <v/>
      </c>
      <c r="C356" s="5">
        <f>IF(A356="","",TEXT(A356,"ddd"))</f>
        <v/>
      </c>
      <c r="D356" s="5">
        <f>IF(A356="","",TEXT(A356,"yyyy-mm"))</f>
        <v/>
      </c>
      <c r="E356" s="5">
        <f>IF(A356="","",IF(A356&lt;Eingabe!$B$5,"",INT((A356-Eingabe!$B$5)/(Eingabe!$B$6*7))+1))</f>
        <v/>
      </c>
      <c r="F356" s="8">
        <f>IF(A356="","",SUMPRODUCT((Eingabe!$B$16:$B$165&lt;&gt;"")*(Eingabe!$J$16:$J$165)*--(A356&gt;=Eingabe!$G$16:$G$165)*--(A356&lt;=Eingabe!$H$16:$H$165)*--(WEEKDAY(A356,2)&lt;=5)))</f>
        <v/>
      </c>
      <c r="G356" s="8">
        <f>IF(A356="","",SUM($F$2:F356))</f>
        <v/>
      </c>
      <c r="H356" s="8">
        <f>IF(A356="","",Eingabe!$B$7-G356)</f>
        <v/>
      </c>
      <c r="I356" s="8">
        <f>IF(A356="","",Eingabe!$B$8-SUMIFS($F$2:F356,$D$2:D356,D356))</f>
        <v/>
      </c>
      <c r="J356" s="8">
        <f>IF(A356="","",IF(E356="",1E+99,IFERROR(VLOOKUP(E356,Eingabe!$D$5:$E$44,2,FALSE),Eingabe!$B$9)))</f>
        <v/>
      </c>
      <c r="K356" s="8">
        <f>IF(A356="","",IF(E356="",1E+99,J356-SUMIFS($F$2:F356,$E$2:E356,E356)))</f>
        <v/>
      </c>
      <c r="L356" s="5">
        <f>IF(A356="","",IF(OR(H356&lt;0,I356&lt;0,K356&lt;0),"UNMOEGLICH","OK"))</f>
        <v/>
      </c>
    </row>
    <row r="357">
      <c r="A357" s="7">
        <f>IF(ROW()-1&lt;=Eingabe!$B$4-Eingabe!$B$3+1,Eingabe!$B$3+ROW()-2,"")</f>
        <v/>
      </c>
      <c r="B357" s="5">
        <f>IF(A357="","",TEXT(A357,"yyyy-mm-dd"))</f>
        <v/>
      </c>
      <c r="C357" s="5">
        <f>IF(A357="","",TEXT(A357,"ddd"))</f>
        <v/>
      </c>
      <c r="D357" s="5">
        <f>IF(A357="","",TEXT(A357,"yyyy-mm"))</f>
        <v/>
      </c>
      <c r="E357" s="5">
        <f>IF(A357="","",IF(A357&lt;Eingabe!$B$5,"",INT((A357-Eingabe!$B$5)/(Eingabe!$B$6*7))+1))</f>
        <v/>
      </c>
      <c r="F357" s="8">
        <f>IF(A357="","",SUMPRODUCT((Eingabe!$B$16:$B$165&lt;&gt;"")*(Eingabe!$J$16:$J$165)*--(A357&gt;=Eingabe!$G$16:$G$165)*--(A357&lt;=Eingabe!$H$16:$H$165)*--(WEEKDAY(A357,2)&lt;=5)))</f>
        <v/>
      </c>
      <c r="G357" s="8">
        <f>IF(A357="","",SUM($F$2:F357))</f>
        <v/>
      </c>
      <c r="H357" s="8">
        <f>IF(A357="","",Eingabe!$B$7-G357)</f>
        <v/>
      </c>
      <c r="I357" s="8">
        <f>IF(A357="","",Eingabe!$B$8-SUMIFS($F$2:F357,$D$2:D357,D357))</f>
        <v/>
      </c>
      <c r="J357" s="8">
        <f>IF(A357="","",IF(E357="",1E+99,IFERROR(VLOOKUP(E357,Eingabe!$D$5:$E$44,2,FALSE),Eingabe!$B$9)))</f>
        <v/>
      </c>
      <c r="K357" s="8">
        <f>IF(A357="","",IF(E357="",1E+99,J357-SUMIFS($F$2:F357,$E$2:E357,E357)))</f>
        <v/>
      </c>
      <c r="L357" s="5">
        <f>IF(A357="","",IF(OR(H357&lt;0,I357&lt;0,K357&lt;0),"UNMOEGLICH","OK"))</f>
        <v/>
      </c>
    </row>
    <row r="358">
      <c r="A358" s="7">
        <f>IF(ROW()-1&lt;=Eingabe!$B$4-Eingabe!$B$3+1,Eingabe!$B$3+ROW()-2,"")</f>
        <v/>
      </c>
      <c r="B358" s="5">
        <f>IF(A358="","",TEXT(A358,"yyyy-mm-dd"))</f>
        <v/>
      </c>
      <c r="C358" s="5">
        <f>IF(A358="","",TEXT(A358,"ddd"))</f>
        <v/>
      </c>
      <c r="D358" s="5">
        <f>IF(A358="","",TEXT(A358,"yyyy-mm"))</f>
        <v/>
      </c>
      <c r="E358" s="5">
        <f>IF(A358="","",IF(A358&lt;Eingabe!$B$5,"",INT((A358-Eingabe!$B$5)/(Eingabe!$B$6*7))+1))</f>
        <v/>
      </c>
      <c r="F358" s="8">
        <f>IF(A358="","",SUMPRODUCT((Eingabe!$B$16:$B$165&lt;&gt;"")*(Eingabe!$J$16:$J$165)*--(A358&gt;=Eingabe!$G$16:$G$165)*--(A358&lt;=Eingabe!$H$16:$H$165)*--(WEEKDAY(A358,2)&lt;=5)))</f>
        <v/>
      </c>
      <c r="G358" s="8">
        <f>IF(A358="","",SUM($F$2:F358))</f>
        <v/>
      </c>
      <c r="H358" s="8">
        <f>IF(A358="","",Eingabe!$B$7-G358)</f>
        <v/>
      </c>
      <c r="I358" s="8">
        <f>IF(A358="","",Eingabe!$B$8-SUMIFS($F$2:F358,$D$2:D358,D358))</f>
        <v/>
      </c>
      <c r="J358" s="8">
        <f>IF(A358="","",IF(E358="",1E+99,IFERROR(VLOOKUP(E358,Eingabe!$D$5:$E$44,2,FALSE),Eingabe!$B$9)))</f>
        <v/>
      </c>
      <c r="K358" s="8">
        <f>IF(A358="","",IF(E358="",1E+99,J358-SUMIFS($F$2:F358,$E$2:E358,E358)))</f>
        <v/>
      </c>
      <c r="L358" s="5">
        <f>IF(A358="","",IF(OR(H358&lt;0,I358&lt;0,K358&lt;0),"UNMOEGLICH","OK"))</f>
        <v/>
      </c>
    </row>
    <row r="359">
      <c r="A359" s="7">
        <f>IF(ROW()-1&lt;=Eingabe!$B$4-Eingabe!$B$3+1,Eingabe!$B$3+ROW()-2,"")</f>
        <v/>
      </c>
      <c r="B359" s="5">
        <f>IF(A359="","",TEXT(A359,"yyyy-mm-dd"))</f>
        <v/>
      </c>
      <c r="C359" s="5">
        <f>IF(A359="","",TEXT(A359,"ddd"))</f>
        <v/>
      </c>
      <c r="D359" s="5">
        <f>IF(A359="","",TEXT(A359,"yyyy-mm"))</f>
        <v/>
      </c>
      <c r="E359" s="5">
        <f>IF(A359="","",IF(A359&lt;Eingabe!$B$5,"",INT((A359-Eingabe!$B$5)/(Eingabe!$B$6*7))+1))</f>
        <v/>
      </c>
      <c r="F359" s="8">
        <f>IF(A359="","",SUMPRODUCT((Eingabe!$B$16:$B$165&lt;&gt;"")*(Eingabe!$J$16:$J$165)*--(A359&gt;=Eingabe!$G$16:$G$165)*--(A359&lt;=Eingabe!$H$16:$H$165)*--(WEEKDAY(A359,2)&lt;=5)))</f>
        <v/>
      </c>
      <c r="G359" s="8">
        <f>IF(A359="","",SUM($F$2:F359))</f>
        <v/>
      </c>
      <c r="H359" s="8">
        <f>IF(A359="","",Eingabe!$B$7-G359)</f>
        <v/>
      </c>
      <c r="I359" s="8">
        <f>IF(A359="","",Eingabe!$B$8-SUMIFS($F$2:F359,$D$2:D359,D359))</f>
        <v/>
      </c>
      <c r="J359" s="8">
        <f>IF(A359="","",IF(E359="",1E+99,IFERROR(VLOOKUP(E359,Eingabe!$D$5:$E$44,2,FALSE),Eingabe!$B$9)))</f>
        <v/>
      </c>
      <c r="K359" s="8">
        <f>IF(A359="","",IF(E359="",1E+99,J359-SUMIFS($F$2:F359,$E$2:E359,E359)))</f>
        <v/>
      </c>
      <c r="L359" s="5">
        <f>IF(A359="","",IF(OR(H359&lt;0,I359&lt;0,K359&lt;0),"UNMOEGLICH","OK"))</f>
        <v/>
      </c>
    </row>
    <row r="360">
      <c r="A360" s="7">
        <f>IF(ROW()-1&lt;=Eingabe!$B$4-Eingabe!$B$3+1,Eingabe!$B$3+ROW()-2,"")</f>
        <v/>
      </c>
      <c r="B360" s="5">
        <f>IF(A360="","",TEXT(A360,"yyyy-mm-dd"))</f>
        <v/>
      </c>
      <c r="C360" s="5">
        <f>IF(A360="","",TEXT(A360,"ddd"))</f>
        <v/>
      </c>
      <c r="D360" s="5">
        <f>IF(A360="","",TEXT(A360,"yyyy-mm"))</f>
        <v/>
      </c>
      <c r="E360" s="5">
        <f>IF(A360="","",IF(A360&lt;Eingabe!$B$5,"",INT((A360-Eingabe!$B$5)/(Eingabe!$B$6*7))+1))</f>
        <v/>
      </c>
      <c r="F360" s="8">
        <f>IF(A360="","",SUMPRODUCT((Eingabe!$B$16:$B$165&lt;&gt;"")*(Eingabe!$J$16:$J$165)*--(A360&gt;=Eingabe!$G$16:$G$165)*--(A360&lt;=Eingabe!$H$16:$H$165)*--(WEEKDAY(A360,2)&lt;=5)))</f>
        <v/>
      </c>
      <c r="G360" s="8">
        <f>IF(A360="","",SUM($F$2:F360))</f>
        <v/>
      </c>
      <c r="H360" s="8">
        <f>IF(A360="","",Eingabe!$B$7-G360)</f>
        <v/>
      </c>
      <c r="I360" s="8">
        <f>IF(A360="","",Eingabe!$B$8-SUMIFS($F$2:F360,$D$2:D360,D360))</f>
        <v/>
      </c>
      <c r="J360" s="8">
        <f>IF(A360="","",IF(E360="",1E+99,IFERROR(VLOOKUP(E360,Eingabe!$D$5:$E$44,2,FALSE),Eingabe!$B$9)))</f>
        <v/>
      </c>
      <c r="K360" s="8">
        <f>IF(A360="","",IF(E360="",1E+99,J360-SUMIFS($F$2:F360,$E$2:E360,E360)))</f>
        <v/>
      </c>
      <c r="L360" s="5">
        <f>IF(A360="","",IF(OR(H360&lt;0,I360&lt;0,K360&lt;0),"UNMOEGLICH","OK"))</f>
        <v/>
      </c>
    </row>
    <row r="361">
      <c r="A361" s="7">
        <f>IF(ROW()-1&lt;=Eingabe!$B$4-Eingabe!$B$3+1,Eingabe!$B$3+ROW()-2,"")</f>
        <v/>
      </c>
      <c r="B361" s="5">
        <f>IF(A361="","",TEXT(A361,"yyyy-mm-dd"))</f>
        <v/>
      </c>
      <c r="C361" s="5">
        <f>IF(A361="","",TEXT(A361,"ddd"))</f>
        <v/>
      </c>
      <c r="D361" s="5">
        <f>IF(A361="","",TEXT(A361,"yyyy-mm"))</f>
        <v/>
      </c>
      <c r="E361" s="5">
        <f>IF(A361="","",IF(A361&lt;Eingabe!$B$5,"",INT((A361-Eingabe!$B$5)/(Eingabe!$B$6*7))+1))</f>
        <v/>
      </c>
      <c r="F361" s="8">
        <f>IF(A361="","",SUMPRODUCT((Eingabe!$B$16:$B$165&lt;&gt;"")*(Eingabe!$J$16:$J$165)*--(A361&gt;=Eingabe!$G$16:$G$165)*--(A361&lt;=Eingabe!$H$16:$H$165)*--(WEEKDAY(A361,2)&lt;=5)))</f>
        <v/>
      </c>
      <c r="G361" s="8">
        <f>IF(A361="","",SUM($F$2:F361))</f>
        <v/>
      </c>
      <c r="H361" s="8">
        <f>IF(A361="","",Eingabe!$B$7-G361)</f>
        <v/>
      </c>
      <c r="I361" s="8">
        <f>IF(A361="","",Eingabe!$B$8-SUMIFS($F$2:F361,$D$2:D361,D361))</f>
        <v/>
      </c>
      <c r="J361" s="8">
        <f>IF(A361="","",IF(E361="",1E+99,IFERROR(VLOOKUP(E361,Eingabe!$D$5:$E$44,2,FALSE),Eingabe!$B$9)))</f>
        <v/>
      </c>
      <c r="K361" s="8">
        <f>IF(A361="","",IF(E361="",1E+99,J361-SUMIFS($F$2:F361,$E$2:E361,E361)))</f>
        <v/>
      </c>
      <c r="L361" s="5">
        <f>IF(A361="","",IF(OR(H361&lt;0,I361&lt;0,K361&lt;0),"UNMOEGLICH","OK"))</f>
        <v/>
      </c>
    </row>
    <row r="362">
      <c r="A362" s="7">
        <f>IF(ROW()-1&lt;=Eingabe!$B$4-Eingabe!$B$3+1,Eingabe!$B$3+ROW()-2,"")</f>
        <v/>
      </c>
      <c r="B362" s="5">
        <f>IF(A362="","",TEXT(A362,"yyyy-mm-dd"))</f>
        <v/>
      </c>
      <c r="C362" s="5">
        <f>IF(A362="","",TEXT(A362,"ddd"))</f>
        <v/>
      </c>
      <c r="D362" s="5">
        <f>IF(A362="","",TEXT(A362,"yyyy-mm"))</f>
        <v/>
      </c>
      <c r="E362" s="5">
        <f>IF(A362="","",IF(A362&lt;Eingabe!$B$5,"",INT((A362-Eingabe!$B$5)/(Eingabe!$B$6*7))+1))</f>
        <v/>
      </c>
      <c r="F362" s="8">
        <f>IF(A362="","",SUMPRODUCT((Eingabe!$B$16:$B$165&lt;&gt;"")*(Eingabe!$J$16:$J$165)*--(A362&gt;=Eingabe!$G$16:$G$165)*--(A362&lt;=Eingabe!$H$16:$H$165)*--(WEEKDAY(A362,2)&lt;=5)))</f>
        <v/>
      </c>
      <c r="G362" s="8">
        <f>IF(A362="","",SUM($F$2:F362))</f>
        <v/>
      </c>
      <c r="H362" s="8">
        <f>IF(A362="","",Eingabe!$B$7-G362)</f>
        <v/>
      </c>
      <c r="I362" s="8">
        <f>IF(A362="","",Eingabe!$B$8-SUMIFS($F$2:F362,$D$2:D362,D362))</f>
        <v/>
      </c>
      <c r="J362" s="8">
        <f>IF(A362="","",IF(E362="",1E+99,IFERROR(VLOOKUP(E362,Eingabe!$D$5:$E$44,2,FALSE),Eingabe!$B$9)))</f>
        <v/>
      </c>
      <c r="K362" s="8">
        <f>IF(A362="","",IF(E362="",1E+99,J362-SUMIFS($F$2:F362,$E$2:E362,E362)))</f>
        <v/>
      </c>
      <c r="L362" s="5">
        <f>IF(A362="","",IF(OR(H362&lt;0,I362&lt;0,K362&lt;0),"UNMOEGLICH","OK"))</f>
        <v/>
      </c>
    </row>
    <row r="363">
      <c r="A363" s="7">
        <f>IF(ROW()-1&lt;=Eingabe!$B$4-Eingabe!$B$3+1,Eingabe!$B$3+ROW()-2,"")</f>
        <v/>
      </c>
      <c r="B363" s="5">
        <f>IF(A363="","",TEXT(A363,"yyyy-mm-dd"))</f>
        <v/>
      </c>
      <c r="C363" s="5">
        <f>IF(A363="","",TEXT(A363,"ddd"))</f>
        <v/>
      </c>
      <c r="D363" s="5">
        <f>IF(A363="","",TEXT(A363,"yyyy-mm"))</f>
        <v/>
      </c>
      <c r="E363" s="5">
        <f>IF(A363="","",IF(A363&lt;Eingabe!$B$5,"",INT((A363-Eingabe!$B$5)/(Eingabe!$B$6*7))+1))</f>
        <v/>
      </c>
      <c r="F363" s="8">
        <f>IF(A363="","",SUMPRODUCT((Eingabe!$B$16:$B$165&lt;&gt;"")*(Eingabe!$J$16:$J$165)*--(A363&gt;=Eingabe!$G$16:$G$165)*--(A363&lt;=Eingabe!$H$16:$H$165)*--(WEEKDAY(A363,2)&lt;=5)))</f>
        <v/>
      </c>
      <c r="G363" s="8">
        <f>IF(A363="","",SUM($F$2:F363))</f>
        <v/>
      </c>
      <c r="H363" s="8">
        <f>IF(A363="","",Eingabe!$B$7-G363)</f>
        <v/>
      </c>
      <c r="I363" s="8">
        <f>IF(A363="","",Eingabe!$B$8-SUMIFS($F$2:F363,$D$2:D363,D363))</f>
        <v/>
      </c>
      <c r="J363" s="8">
        <f>IF(A363="","",IF(E363="",1E+99,IFERROR(VLOOKUP(E363,Eingabe!$D$5:$E$44,2,FALSE),Eingabe!$B$9)))</f>
        <v/>
      </c>
      <c r="K363" s="8">
        <f>IF(A363="","",IF(E363="",1E+99,J363-SUMIFS($F$2:F363,$E$2:E363,E363)))</f>
        <v/>
      </c>
      <c r="L363" s="5">
        <f>IF(A363="","",IF(OR(H363&lt;0,I363&lt;0,K363&lt;0),"UNMOEGLICH","OK"))</f>
        <v/>
      </c>
    </row>
    <row r="364">
      <c r="A364" s="7">
        <f>IF(ROW()-1&lt;=Eingabe!$B$4-Eingabe!$B$3+1,Eingabe!$B$3+ROW()-2,"")</f>
        <v/>
      </c>
      <c r="B364" s="5">
        <f>IF(A364="","",TEXT(A364,"yyyy-mm-dd"))</f>
        <v/>
      </c>
      <c r="C364" s="5">
        <f>IF(A364="","",TEXT(A364,"ddd"))</f>
        <v/>
      </c>
      <c r="D364" s="5">
        <f>IF(A364="","",TEXT(A364,"yyyy-mm"))</f>
        <v/>
      </c>
      <c r="E364" s="5">
        <f>IF(A364="","",IF(A364&lt;Eingabe!$B$5,"",INT((A364-Eingabe!$B$5)/(Eingabe!$B$6*7))+1))</f>
        <v/>
      </c>
      <c r="F364" s="8">
        <f>IF(A364="","",SUMPRODUCT((Eingabe!$B$16:$B$165&lt;&gt;"")*(Eingabe!$J$16:$J$165)*--(A364&gt;=Eingabe!$G$16:$G$165)*--(A364&lt;=Eingabe!$H$16:$H$165)*--(WEEKDAY(A364,2)&lt;=5)))</f>
        <v/>
      </c>
      <c r="G364" s="8">
        <f>IF(A364="","",SUM($F$2:F364))</f>
        <v/>
      </c>
      <c r="H364" s="8">
        <f>IF(A364="","",Eingabe!$B$7-G364)</f>
        <v/>
      </c>
      <c r="I364" s="8">
        <f>IF(A364="","",Eingabe!$B$8-SUMIFS($F$2:F364,$D$2:D364,D364))</f>
        <v/>
      </c>
      <c r="J364" s="8">
        <f>IF(A364="","",IF(E364="",1E+99,IFERROR(VLOOKUP(E364,Eingabe!$D$5:$E$44,2,FALSE),Eingabe!$B$9)))</f>
        <v/>
      </c>
      <c r="K364" s="8">
        <f>IF(A364="","",IF(E364="",1E+99,J364-SUMIFS($F$2:F364,$E$2:E364,E364)))</f>
        <v/>
      </c>
      <c r="L364" s="5">
        <f>IF(A364="","",IF(OR(H364&lt;0,I364&lt;0,K364&lt;0),"UNMOEGLICH","OK"))</f>
        <v/>
      </c>
    </row>
    <row r="365">
      <c r="A365" s="7">
        <f>IF(ROW()-1&lt;=Eingabe!$B$4-Eingabe!$B$3+1,Eingabe!$B$3+ROW()-2,"")</f>
        <v/>
      </c>
      <c r="B365" s="5">
        <f>IF(A365="","",TEXT(A365,"yyyy-mm-dd"))</f>
        <v/>
      </c>
      <c r="C365" s="5">
        <f>IF(A365="","",TEXT(A365,"ddd"))</f>
        <v/>
      </c>
      <c r="D365" s="5">
        <f>IF(A365="","",TEXT(A365,"yyyy-mm"))</f>
        <v/>
      </c>
      <c r="E365" s="5">
        <f>IF(A365="","",IF(A365&lt;Eingabe!$B$5,"",INT((A365-Eingabe!$B$5)/(Eingabe!$B$6*7))+1))</f>
        <v/>
      </c>
      <c r="F365" s="8">
        <f>IF(A365="","",SUMPRODUCT((Eingabe!$B$16:$B$165&lt;&gt;"")*(Eingabe!$J$16:$J$165)*--(A365&gt;=Eingabe!$G$16:$G$165)*--(A365&lt;=Eingabe!$H$16:$H$165)*--(WEEKDAY(A365,2)&lt;=5)))</f>
        <v/>
      </c>
      <c r="G365" s="8">
        <f>IF(A365="","",SUM($F$2:F365))</f>
        <v/>
      </c>
      <c r="H365" s="8">
        <f>IF(A365="","",Eingabe!$B$7-G365)</f>
        <v/>
      </c>
      <c r="I365" s="8">
        <f>IF(A365="","",Eingabe!$B$8-SUMIFS($F$2:F365,$D$2:D365,D365))</f>
        <v/>
      </c>
      <c r="J365" s="8">
        <f>IF(A365="","",IF(E365="",1E+99,IFERROR(VLOOKUP(E365,Eingabe!$D$5:$E$44,2,FALSE),Eingabe!$B$9)))</f>
        <v/>
      </c>
      <c r="K365" s="8">
        <f>IF(A365="","",IF(E365="",1E+99,J365-SUMIFS($F$2:F365,$E$2:E365,E365)))</f>
        <v/>
      </c>
      <c r="L365" s="5">
        <f>IF(A365="","",IF(OR(H365&lt;0,I365&lt;0,K365&lt;0),"UNMOEGLICH","OK"))</f>
        <v/>
      </c>
    </row>
    <row r="366">
      <c r="A366" s="7">
        <f>IF(ROW()-1&lt;=Eingabe!$B$4-Eingabe!$B$3+1,Eingabe!$B$3+ROW()-2,"")</f>
        <v/>
      </c>
      <c r="B366" s="5">
        <f>IF(A366="","",TEXT(A366,"yyyy-mm-dd"))</f>
        <v/>
      </c>
      <c r="C366" s="5">
        <f>IF(A366="","",TEXT(A366,"ddd"))</f>
        <v/>
      </c>
      <c r="D366" s="5">
        <f>IF(A366="","",TEXT(A366,"yyyy-mm"))</f>
        <v/>
      </c>
      <c r="E366" s="5">
        <f>IF(A366="","",IF(A366&lt;Eingabe!$B$5,"",INT((A366-Eingabe!$B$5)/(Eingabe!$B$6*7))+1))</f>
        <v/>
      </c>
      <c r="F366" s="8">
        <f>IF(A366="","",SUMPRODUCT((Eingabe!$B$16:$B$165&lt;&gt;"")*(Eingabe!$J$16:$J$165)*--(A366&gt;=Eingabe!$G$16:$G$165)*--(A366&lt;=Eingabe!$H$16:$H$165)*--(WEEKDAY(A366,2)&lt;=5)))</f>
        <v/>
      </c>
      <c r="G366" s="8">
        <f>IF(A366="","",SUM($F$2:F366))</f>
        <v/>
      </c>
      <c r="H366" s="8">
        <f>IF(A366="","",Eingabe!$B$7-G366)</f>
        <v/>
      </c>
      <c r="I366" s="8">
        <f>IF(A366="","",Eingabe!$B$8-SUMIFS($F$2:F366,$D$2:D366,D366))</f>
        <v/>
      </c>
      <c r="J366" s="8">
        <f>IF(A366="","",IF(E366="",1E+99,IFERROR(VLOOKUP(E366,Eingabe!$D$5:$E$44,2,FALSE),Eingabe!$B$9)))</f>
        <v/>
      </c>
      <c r="K366" s="8">
        <f>IF(A366="","",IF(E366="",1E+99,J366-SUMIFS($F$2:F366,$E$2:E366,E366)))</f>
        <v/>
      </c>
      <c r="L366" s="5">
        <f>IF(A366="","",IF(OR(H366&lt;0,I366&lt;0,K366&lt;0),"UNMOEGLICH","OK"))</f>
        <v/>
      </c>
    </row>
    <row r="367">
      <c r="A367" s="7">
        <f>IF(ROW()-1&lt;=Eingabe!$B$4-Eingabe!$B$3+1,Eingabe!$B$3+ROW()-2,"")</f>
        <v/>
      </c>
      <c r="B367" s="5">
        <f>IF(A367="","",TEXT(A367,"yyyy-mm-dd"))</f>
        <v/>
      </c>
      <c r="C367" s="5">
        <f>IF(A367="","",TEXT(A367,"ddd"))</f>
        <v/>
      </c>
      <c r="D367" s="5">
        <f>IF(A367="","",TEXT(A367,"yyyy-mm"))</f>
        <v/>
      </c>
      <c r="E367" s="5">
        <f>IF(A367="","",IF(A367&lt;Eingabe!$B$5,"",INT((A367-Eingabe!$B$5)/(Eingabe!$B$6*7))+1))</f>
        <v/>
      </c>
      <c r="F367" s="8">
        <f>IF(A367="","",SUMPRODUCT((Eingabe!$B$16:$B$165&lt;&gt;"")*(Eingabe!$J$16:$J$165)*--(A367&gt;=Eingabe!$G$16:$G$165)*--(A367&lt;=Eingabe!$H$16:$H$165)*--(WEEKDAY(A367,2)&lt;=5)))</f>
        <v/>
      </c>
      <c r="G367" s="8">
        <f>IF(A367="","",SUM($F$2:F367))</f>
        <v/>
      </c>
      <c r="H367" s="8">
        <f>IF(A367="","",Eingabe!$B$7-G367)</f>
        <v/>
      </c>
      <c r="I367" s="8">
        <f>IF(A367="","",Eingabe!$B$8-SUMIFS($F$2:F367,$D$2:D367,D367))</f>
        <v/>
      </c>
      <c r="J367" s="8">
        <f>IF(A367="","",IF(E367="",1E+99,IFERROR(VLOOKUP(E367,Eingabe!$D$5:$E$44,2,FALSE),Eingabe!$B$9)))</f>
        <v/>
      </c>
      <c r="K367" s="8">
        <f>IF(A367="","",IF(E367="",1E+99,J367-SUMIFS($F$2:F367,$E$2:E367,E367)))</f>
        <v/>
      </c>
      <c r="L367" s="5">
        <f>IF(A367="","",IF(OR(H367&lt;0,I367&lt;0,K367&lt;0),"UNMOEGLICH","OK"))</f>
        <v/>
      </c>
    </row>
    <row r="368">
      <c r="A368" s="7">
        <f>IF(ROW()-1&lt;=Eingabe!$B$4-Eingabe!$B$3+1,Eingabe!$B$3+ROW()-2,"")</f>
        <v/>
      </c>
      <c r="B368" s="5">
        <f>IF(A368="","",TEXT(A368,"yyyy-mm-dd"))</f>
        <v/>
      </c>
      <c r="C368" s="5">
        <f>IF(A368="","",TEXT(A368,"ddd"))</f>
        <v/>
      </c>
      <c r="D368" s="5">
        <f>IF(A368="","",TEXT(A368,"yyyy-mm"))</f>
        <v/>
      </c>
      <c r="E368" s="5">
        <f>IF(A368="","",IF(A368&lt;Eingabe!$B$5,"",INT((A368-Eingabe!$B$5)/(Eingabe!$B$6*7))+1))</f>
        <v/>
      </c>
      <c r="F368" s="8">
        <f>IF(A368="","",SUMPRODUCT((Eingabe!$B$16:$B$165&lt;&gt;"")*(Eingabe!$J$16:$J$165)*--(A368&gt;=Eingabe!$G$16:$G$165)*--(A368&lt;=Eingabe!$H$16:$H$165)*--(WEEKDAY(A368,2)&lt;=5)))</f>
        <v/>
      </c>
      <c r="G368" s="8">
        <f>IF(A368="","",SUM($F$2:F368))</f>
        <v/>
      </c>
      <c r="H368" s="8">
        <f>IF(A368="","",Eingabe!$B$7-G368)</f>
        <v/>
      </c>
      <c r="I368" s="8">
        <f>IF(A368="","",Eingabe!$B$8-SUMIFS($F$2:F368,$D$2:D368,D368))</f>
        <v/>
      </c>
      <c r="J368" s="8">
        <f>IF(A368="","",IF(E368="",1E+99,IFERROR(VLOOKUP(E368,Eingabe!$D$5:$E$44,2,FALSE),Eingabe!$B$9)))</f>
        <v/>
      </c>
      <c r="K368" s="8">
        <f>IF(A368="","",IF(E368="",1E+99,J368-SUMIFS($F$2:F368,$E$2:E368,E368)))</f>
        <v/>
      </c>
      <c r="L368" s="5">
        <f>IF(A368="","",IF(OR(H368&lt;0,I368&lt;0,K368&lt;0),"UNMOEGLICH","OK"))</f>
        <v/>
      </c>
    </row>
    <row r="369">
      <c r="A369" s="7">
        <f>IF(ROW()-1&lt;=Eingabe!$B$4-Eingabe!$B$3+1,Eingabe!$B$3+ROW()-2,"")</f>
        <v/>
      </c>
      <c r="B369" s="5">
        <f>IF(A369="","",TEXT(A369,"yyyy-mm-dd"))</f>
        <v/>
      </c>
      <c r="C369" s="5">
        <f>IF(A369="","",TEXT(A369,"ddd"))</f>
        <v/>
      </c>
      <c r="D369" s="5">
        <f>IF(A369="","",TEXT(A369,"yyyy-mm"))</f>
        <v/>
      </c>
      <c r="E369" s="5">
        <f>IF(A369="","",IF(A369&lt;Eingabe!$B$5,"",INT((A369-Eingabe!$B$5)/(Eingabe!$B$6*7))+1))</f>
        <v/>
      </c>
      <c r="F369" s="8">
        <f>IF(A369="","",SUMPRODUCT((Eingabe!$B$16:$B$165&lt;&gt;"")*(Eingabe!$J$16:$J$165)*--(A369&gt;=Eingabe!$G$16:$G$165)*--(A369&lt;=Eingabe!$H$16:$H$165)*--(WEEKDAY(A369,2)&lt;=5)))</f>
        <v/>
      </c>
      <c r="G369" s="8">
        <f>IF(A369="","",SUM($F$2:F369))</f>
        <v/>
      </c>
      <c r="H369" s="8">
        <f>IF(A369="","",Eingabe!$B$7-G369)</f>
        <v/>
      </c>
      <c r="I369" s="8">
        <f>IF(A369="","",Eingabe!$B$8-SUMIFS($F$2:F369,$D$2:D369,D369))</f>
        <v/>
      </c>
      <c r="J369" s="8">
        <f>IF(A369="","",IF(E369="",1E+99,IFERROR(VLOOKUP(E369,Eingabe!$D$5:$E$44,2,FALSE),Eingabe!$B$9)))</f>
        <v/>
      </c>
      <c r="K369" s="8">
        <f>IF(A369="","",IF(E369="",1E+99,J369-SUMIFS($F$2:F369,$E$2:E369,E369)))</f>
        <v/>
      </c>
      <c r="L369" s="5">
        <f>IF(A369="","",IF(OR(H369&lt;0,I369&lt;0,K369&lt;0),"UNMOEGLICH","OK"))</f>
        <v/>
      </c>
    </row>
    <row r="370">
      <c r="A370" s="7">
        <f>IF(ROW()-1&lt;=Eingabe!$B$4-Eingabe!$B$3+1,Eingabe!$B$3+ROW()-2,"")</f>
        <v/>
      </c>
      <c r="B370" s="5">
        <f>IF(A370="","",TEXT(A370,"yyyy-mm-dd"))</f>
        <v/>
      </c>
      <c r="C370" s="5">
        <f>IF(A370="","",TEXT(A370,"ddd"))</f>
        <v/>
      </c>
      <c r="D370" s="5">
        <f>IF(A370="","",TEXT(A370,"yyyy-mm"))</f>
        <v/>
      </c>
      <c r="E370" s="5">
        <f>IF(A370="","",IF(A370&lt;Eingabe!$B$5,"",INT((A370-Eingabe!$B$5)/(Eingabe!$B$6*7))+1))</f>
        <v/>
      </c>
      <c r="F370" s="8">
        <f>IF(A370="","",SUMPRODUCT((Eingabe!$B$16:$B$165&lt;&gt;"")*(Eingabe!$J$16:$J$165)*--(A370&gt;=Eingabe!$G$16:$G$165)*--(A370&lt;=Eingabe!$H$16:$H$165)*--(WEEKDAY(A370,2)&lt;=5)))</f>
        <v/>
      </c>
      <c r="G370" s="8">
        <f>IF(A370="","",SUM($F$2:F370))</f>
        <v/>
      </c>
      <c r="H370" s="8">
        <f>IF(A370="","",Eingabe!$B$7-G370)</f>
        <v/>
      </c>
      <c r="I370" s="8">
        <f>IF(A370="","",Eingabe!$B$8-SUMIFS($F$2:F370,$D$2:D370,D370))</f>
        <v/>
      </c>
      <c r="J370" s="8">
        <f>IF(A370="","",IF(E370="",1E+99,IFERROR(VLOOKUP(E370,Eingabe!$D$5:$E$44,2,FALSE),Eingabe!$B$9)))</f>
        <v/>
      </c>
      <c r="K370" s="8">
        <f>IF(A370="","",IF(E370="",1E+99,J370-SUMIFS($F$2:F370,$E$2:E370,E370)))</f>
        <v/>
      </c>
      <c r="L370" s="5">
        <f>IF(A370="","",IF(OR(H370&lt;0,I370&lt;0,K370&lt;0),"UNMOEGLICH","OK"))</f>
        <v/>
      </c>
    </row>
    <row r="371">
      <c r="A371" s="7">
        <f>IF(ROW()-1&lt;=Eingabe!$B$4-Eingabe!$B$3+1,Eingabe!$B$3+ROW()-2,"")</f>
        <v/>
      </c>
      <c r="B371" s="5">
        <f>IF(A371="","",TEXT(A371,"yyyy-mm-dd"))</f>
        <v/>
      </c>
      <c r="C371" s="5">
        <f>IF(A371="","",TEXT(A371,"ddd"))</f>
        <v/>
      </c>
      <c r="D371" s="5">
        <f>IF(A371="","",TEXT(A371,"yyyy-mm"))</f>
        <v/>
      </c>
      <c r="E371" s="5">
        <f>IF(A371="","",IF(A371&lt;Eingabe!$B$5,"",INT((A371-Eingabe!$B$5)/(Eingabe!$B$6*7))+1))</f>
        <v/>
      </c>
      <c r="F371" s="8">
        <f>IF(A371="","",SUMPRODUCT((Eingabe!$B$16:$B$165&lt;&gt;"")*(Eingabe!$J$16:$J$165)*--(A371&gt;=Eingabe!$G$16:$G$165)*--(A371&lt;=Eingabe!$H$16:$H$165)*--(WEEKDAY(A371,2)&lt;=5)))</f>
        <v/>
      </c>
      <c r="G371" s="8">
        <f>IF(A371="","",SUM($F$2:F371))</f>
        <v/>
      </c>
      <c r="H371" s="8">
        <f>IF(A371="","",Eingabe!$B$7-G371)</f>
        <v/>
      </c>
      <c r="I371" s="8">
        <f>IF(A371="","",Eingabe!$B$8-SUMIFS($F$2:F371,$D$2:D371,D371))</f>
        <v/>
      </c>
      <c r="J371" s="8">
        <f>IF(A371="","",IF(E371="",1E+99,IFERROR(VLOOKUP(E371,Eingabe!$D$5:$E$44,2,FALSE),Eingabe!$B$9)))</f>
        <v/>
      </c>
      <c r="K371" s="8">
        <f>IF(A371="","",IF(E371="",1E+99,J371-SUMIFS($F$2:F371,$E$2:E371,E371)))</f>
        <v/>
      </c>
      <c r="L371" s="5">
        <f>IF(A371="","",IF(OR(H371&lt;0,I371&lt;0,K371&lt;0),"UNMOEGLICH","OK"))</f>
        <v/>
      </c>
    </row>
    <row r="372">
      <c r="A372" s="7">
        <f>IF(ROW()-1&lt;=Eingabe!$B$4-Eingabe!$B$3+1,Eingabe!$B$3+ROW()-2,"")</f>
        <v/>
      </c>
      <c r="B372" s="5">
        <f>IF(A372="","",TEXT(A372,"yyyy-mm-dd"))</f>
        <v/>
      </c>
      <c r="C372" s="5">
        <f>IF(A372="","",TEXT(A372,"ddd"))</f>
        <v/>
      </c>
      <c r="D372" s="5">
        <f>IF(A372="","",TEXT(A372,"yyyy-mm"))</f>
        <v/>
      </c>
      <c r="E372" s="5">
        <f>IF(A372="","",IF(A372&lt;Eingabe!$B$5,"",INT((A372-Eingabe!$B$5)/(Eingabe!$B$6*7))+1))</f>
        <v/>
      </c>
      <c r="F372" s="8">
        <f>IF(A372="","",SUMPRODUCT((Eingabe!$B$16:$B$165&lt;&gt;"")*(Eingabe!$J$16:$J$165)*--(A372&gt;=Eingabe!$G$16:$G$165)*--(A372&lt;=Eingabe!$H$16:$H$165)*--(WEEKDAY(A372,2)&lt;=5)))</f>
        <v/>
      </c>
      <c r="G372" s="8">
        <f>IF(A372="","",SUM($F$2:F372))</f>
        <v/>
      </c>
      <c r="H372" s="8">
        <f>IF(A372="","",Eingabe!$B$7-G372)</f>
        <v/>
      </c>
      <c r="I372" s="8">
        <f>IF(A372="","",Eingabe!$B$8-SUMIFS($F$2:F372,$D$2:D372,D372))</f>
        <v/>
      </c>
      <c r="J372" s="8">
        <f>IF(A372="","",IF(E372="",1E+99,IFERROR(VLOOKUP(E372,Eingabe!$D$5:$E$44,2,FALSE),Eingabe!$B$9)))</f>
        <v/>
      </c>
      <c r="K372" s="8">
        <f>IF(A372="","",IF(E372="",1E+99,J372-SUMIFS($F$2:F372,$E$2:E372,E372)))</f>
        <v/>
      </c>
      <c r="L372" s="5">
        <f>IF(A372="","",IF(OR(H372&lt;0,I372&lt;0,K372&lt;0),"UNMOEGLICH","OK"))</f>
        <v/>
      </c>
    </row>
    <row r="373">
      <c r="A373" s="7">
        <f>IF(ROW()-1&lt;=Eingabe!$B$4-Eingabe!$B$3+1,Eingabe!$B$3+ROW()-2,"")</f>
        <v/>
      </c>
      <c r="B373" s="5">
        <f>IF(A373="","",TEXT(A373,"yyyy-mm-dd"))</f>
        <v/>
      </c>
      <c r="C373" s="5">
        <f>IF(A373="","",TEXT(A373,"ddd"))</f>
        <v/>
      </c>
      <c r="D373" s="5">
        <f>IF(A373="","",TEXT(A373,"yyyy-mm"))</f>
        <v/>
      </c>
      <c r="E373" s="5">
        <f>IF(A373="","",IF(A373&lt;Eingabe!$B$5,"",INT((A373-Eingabe!$B$5)/(Eingabe!$B$6*7))+1))</f>
        <v/>
      </c>
      <c r="F373" s="8">
        <f>IF(A373="","",SUMPRODUCT((Eingabe!$B$16:$B$165&lt;&gt;"")*(Eingabe!$J$16:$J$165)*--(A373&gt;=Eingabe!$G$16:$G$165)*--(A373&lt;=Eingabe!$H$16:$H$165)*--(WEEKDAY(A373,2)&lt;=5)))</f>
        <v/>
      </c>
      <c r="G373" s="8">
        <f>IF(A373="","",SUM($F$2:F373))</f>
        <v/>
      </c>
      <c r="H373" s="8">
        <f>IF(A373="","",Eingabe!$B$7-G373)</f>
        <v/>
      </c>
      <c r="I373" s="8">
        <f>IF(A373="","",Eingabe!$B$8-SUMIFS($F$2:F373,$D$2:D373,D373))</f>
        <v/>
      </c>
      <c r="J373" s="8">
        <f>IF(A373="","",IF(E373="",1E+99,IFERROR(VLOOKUP(E373,Eingabe!$D$5:$E$44,2,FALSE),Eingabe!$B$9)))</f>
        <v/>
      </c>
      <c r="K373" s="8">
        <f>IF(A373="","",IF(E373="",1E+99,J373-SUMIFS($F$2:F373,$E$2:E373,E373)))</f>
        <v/>
      </c>
      <c r="L373" s="5">
        <f>IF(A373="","",IF(OR(H373&lt;0,I373&lt;0,K373&lt;0),"UNMOEGLICH","OK"))</f>
        <v/>
      </c>
    </row>
    <row r="374">
      <c r="A374" s="7">
        <f>IF(ROW()-1&lt;=Eingabe!$B$4-Eingabe!$B$3+1,Eingabe!$B$3+ROW()-2,"")</f>
        <v/>
      </c>
      <c r="B374" s="5">
        <f>IF(A374="","",TEXT(A374,"yyyy-mm-dd"))</f>
        <v/>
      </c>
      <c r="C374" s="5">
        <f>IF(A374="","",TEXT(A374,"ddd"))</f>
        <v/>
      </c>
      <c r="D374" s="5">
        <f>IF(A374="","",TEXT(A374,"yyyy-mm"))</f>
        <v/>
      </c>
      <c r="E374" s="5">
        <f>IF(A374="","",IF(A374&lt;Eingabe!$B$5,"",INT((A374-Eingabe!$B$5)/(Eingabe!$B$6*7))+1))</f>
        <v/>
      </c>
      <c r="F374" s="8">
        <f>IF(A374="","",SUMPRODUCT((Eingabe!$B$16:$B$165&lt;&gt;"")*(Eingabe!$J$16:$J$165)*--(A374&gt;=Eingabe!$G$16:$G$165)*--(A374&lt;=Eingabe!$H$16:$H$165)*--(WEEKDAY(A374,2)&lt;=5)))</f>
        <v/>
      </c>
      <c r="G374" s="8">
        <f>IF(A374="","",SUM($F$2:F374))</f>
        <v/>
      </c>
      <c r="H374" s="8">
        <f>IF(A374="","",Eingabe!$B$7-G374)</f>
        <v/>
      </c>
      <c r="I374" s="8">
        <f>IF(A374="","",Eingabe!$B$8-SUMIFS($F$2:F374,$D$2:D374,D374))</f>
        <v/>
      </c>
      <c r="J374" s="8">
        <f>IF(A374="","",IF(E374="",1E+99,IFERROR(VLOOKUP(E374,Eingabe!$D$5:$E$44,2,FALSE),Eingabe!$B$9)))</f>
        <v/>
      </c>
      <c r="K374" s="8">
        <f>IF(A374="","",IF(E374="",1E+99,J374-SUMIFS($F$2:F374,$E$2:E374,E374)))</f>
        <v/>
      </c>
      <c r="L374" s="5">
        <f>IF(A374="","",IF(OR(H374&lt;0,I374&lt;0,K374&lt;0),"UNMOEGLICH","OK"))</f>
        <v/>
      </c>
    </row>
    <row r="375">
      <c r="A375" s="7">
        <f>IF(ROW()-1&lt;=Eingabe!$B$4-Eingabe!$B$3+1,Eingabe!$B$3+ROW()-2,"")</f>
        <v/>
      </c>
      <c r="B375" s="5">
        <f>IF(A375="","",TEXT(A375,"yyyy-mm-dd"))</f>
        <v/>
      </c>
      <c r="C375" s="5">
        <f>IF(A375="","",TEXT(A375,"ddd"))</f>
        <v/>
      </c>
      <c r="D375" s="5">
        <f>IF(A375="","",TEXT(A375,"yyyy-mm"))</f>
        <v/>
      </c>
      <c r="E375" s="5">
        <f>IF(A375="","",IF(A375&lt;Eingabe!$B$5,"",INT((A375-Eingabe!$B$5)/(Eingabe!$B$6*7))+1))</f>
        <v/>
      </c>
      <c r="F375" s="8">
        <f>IF(A375="","",SUMPRODUCT((Eingabe!$B$16:$B$165&lt;&gt;"")*(Eingabe!$J$16:$J$165)*--(A375&gt;=Eingabe!$G$16:$G$165)*--(A375&lt;=Eingabe!$H$16:$H$165)*--(WEEKDAY(A375,2)&lt;=5)))</f>
        <v/>
      </c>
      <c r="G375" s="8">
        <f>IF(A375="","",SUM($F$2:F375))</f>
        <v/>
      </c>
      <c r="H375" s="8">
        <f>IF(A375="","",Eingabe!$B$7-G375)</f>
        <v/>
      </c>
      <c r="I375" s="8">
        <f>IF(A375="","",Eingabe!$B$8-SUMIFS($F$2:F375,$D$2:D375,D375))</f>
        <v/>
      </c>
      <c r="J375" s="8">
        <f>IF(A375="","",IF(E375="",1E+99,IFERROR(VLOOKUP(E375,Eingabe!$D$5:$E$44,2,FALSE),Eingabe!$B$9)))</f>
        <v/>
      </c>
      <c r="K375" s="8">
        <f>IF(A375="","",IF(E375="",1E+99,J375-SUMIFS($F$2:F375,$E$2:E375,E375)))</f>
        <v/>
      </c>
      <c r="L375" s="5">
        <f>IF(A375="","",IF(OR(H375&lt;0,I375&lt;0,K375&lt;0),"UNMOEGLICH","OK"))</f>
        <v/>
      </c>
    </row>
    <row r="376">
      <c r="A376" s="7">
        <f>IF(ROW()-1&lt;=Eingabe!$B$4-Eingabe!$B$3+1,Eingabe!$B$3+ROW()-2,"")</f>
        <v/>
      </c>
      <c r="B376" s="5">
        <f>IF(A376="","",TEXT(A376,"yyyy-mm-dd"))</f>
        <v/>
      </c>
      <c r="C376" s="5">
        <f>IF(A376="","",TEXT(A376,"ddd"))</f>
        <v/>
      </c>
      <c r="D376" s="5">
        <f>IF(A376="","",TEXT(A376,"yyyy-mm"))</f>
        <v/>
      </c>
      <c r="E376" s="5">
        <f>IF(A376="","",IF(A376&lt;Eingabe!$B$5,"",INT((A376-Eingabe!$B$5)/(Eingabe!$B$6*7))+1))</f>
        <v/>
      </c>
      <c r="F376" s="8">
        <f>IF(A376="","",SUMPRODUCT((Eingabe!$B$16:$B$165&lt;&gt;"")*(Eingabe!$J$16:$J$165)*--(A376&gt;=Eingabe!$G$16:$G$165)*--(A376&lt;=Eingabe!$H$16:$H$165)*--(WEEKDAY(A376,2)&lt;=5)))</f>
        <v/>
      </c>
      <c r="G376" s="8">
        <f>IF(A376="","",SUM($F$2:F376))</f>
        <v/>
      </c>
      <c r="H376" s="8">
        <f>IF(A376="","",Eingabe!$B$7-G376)</f>
        <v/>
      </c>
      <c r="I376" s="8">
        <f>IF(A376="","",Eingabe!$B$8-SUMIFS($F$2:F376,$D$2:D376,D376))</f>
        <v/>
      </c>
      <c r="J376" s="8">
        <f>IF(A376="","",IF(E376="",1E+99,IFERROR(VLOOKUP(E376,Eingabe!$D$5:$E$44,2,FALSE),Eingabe!$B$9)))</f>
        <v/>
      </c>
      <c r="K376" s="8">
        <f>IF(A376="","",IF(E376="",1E+99,J376-SUMIFS($F$2:F376,$E$2:E376,E376)))</f>
        <v/>
      </c>
      <c r="L376" s="5">
        <f>IF(A376="","",IF(OR(H376&lt;0,I376&lt;0,K376&lt;0),"UNMOEGLICH","OK"))</f>
        <v/>
      </c>
    </row>
    <row r="377">
      <c r="A377" s="7">
        <f>IF(ROW()-1&lt;=Eingabe!$B$4-Eingabe!$B$3+1,Eingabe!$B$3+ROW()-2,"")</f>
        <v/>
      </c>
      <c r="B377" s="5">
        <f>IF(A377="","",TEXT(A377,"yyyy-mm-dd"))</f>
        <v/>
      </c>
      <c r="C377" s="5">
        <f>IF(A377="","",TEXT(A377,"ddd"))</f>
        <v/>
      </c>
      <c r="D377" s="5">
        <f>IF(A377="","",TEXT(A377,"yyyy-mm"))</f>
        <v/>
      </c>
      <c r="E377" s="5">
        <f>IF(A377="","",IF(A377&lt;Eingabe!$B$5,"",INT((A377-Eingabe!$B$5)/(Eingabe!$B$6*7))+1))</f>
        <v/>
      </c>
      <c r="F377" s="8">
        <f>IF(A377="","",SUMPRODUCT((Eingabe!$B$16:$B$165&lt;&gt;"")*(Eingabe!$J$16:$J$165)*--(A377&gt;=Eingabe!$G$16:$G$165)*--(A377&lt;=Eingabe!$H$16:$H$165)*--(WEEKDAY(A377,2)&lt;=5)))</f>
        <v/>
      </c>
      <c r="G377" s="8">
        <f>IF(A377="","",SUM($F$2:F377))</f>
        <v/>
      </c>
      <c r="H377" s="8">
        <f>IF(A377="","",Eingabe!$B$7-G377)</f>
        <v/>
      </c>
      <c r="I377" s="8">
        <f>IF(A377="","",Eingabe!$B$8-SUMIFS($F$2:F377,$D$2:D377,D377))</f>
        <v/>
      </c>
      <c r="J377" s="8">
        <f>IF(A377="","",IF(E377="",1E+99,IFERROR(VLOOKUP(E377,Eingabe!$D$5:$E$44,2,FALSE),Eingabe!$B$9)))</f>
        <v/>
      </c>
      <c r="K377" s="8">
        <f>IF(A377="","",IF(E377="",1E+99,J377-SUMIFS($F$2:F377,$E$2:E377,E377)))</f>
        <v/>
      </c>
      <c r="L377" s="5">
        <f>IF(A377="","",IF(OR(H377&lt;0,I377&lt;0,K377&lt;0),"UNMOEGLICH","OK"))</f>
        <v/>
      </c>
    </row>
    <row r="378">
      <c r="A378" s="7">
        <f>IF(ROW()-1&lt;=Eingabe!$B$4-Eingabe!$B$3+1,Eingabe!$B$3+ROW()-2,"")</f>
        <v/>
      </c>
      <c r="B378" s="5">
        <f>IF(A378="","",TEXT(A378,"yyyy-mm-dd"))</f>
        <v/>
      </c>
      <c r="C378" s="5">
        <f>IF(A378="","",TEXT(A378,"ddd"))</f>
        <v/>
      </c>
      <c r="D378" s="5">
        <f>IF(A378="","",TEXT(A378,"yyyy-mm"))</f>
        <v/>
      </c>
      <c r="E378" s="5">
        <f>IF(A378="","",IF(A378&lt;Eingabe!$B$5,"",INT((A378-Eingabe!$B$5)/(Eingabe!$B$6*7))+1))</f>
        <v/>
      </c>
      <c r="F378" s="8">
        <f>IF(A378="","",SUMPRODUCT((Eingabe!$B$16:$B$165&lt;&gt;"")*(Eingabe!$J$16:$J$165)*--(A378&gt;=Eingabe!$G$16:$G$165)*--(A378&lt;=Eingabe!$H$16:$H$165)*--(WEEKDAY(A378,2)&lt;=5)))</f>
        <v/>
      </c>
      <c r="G378" s="8">
        <f>IF(A378="","",SUM($F$2:F378))</f>
        <v/>
      </c>
      <c r="H378" s="8">
        <f>IF(A378="","",Eingabe!$B$7-G378)</f>
        <v/>
      </c>
      <c r="I378" s="8">
        <f>IF(A378="","",Eingabe!$B$8-SUMIFS($F$2:F378,$D$2:D378,D378))</f>
        <v/>
      </c>
      <c r="J378" s="8">
        <f>IF(A378="","",IF(E378="",1E+99,IFERROR(VLOOKUP(E378,Eingabe!$D$5:$E$44,2,FALSE),Eingabe!$B$9)))</f>
        <v/>
      </c>
      <c r="K378" s="8">
        <f>IF(A378="","",IF(E378="",1E+99,J378-SUMIFS($F$2:F378,$E$2:E378,E378)))</f>
        <v/>
      </c>
      <c r="L378" s="5">
        <f>IF(A378="","",IF(OR(H378&lt;0,I378&lt;0,K378&lt;0),"UNMOEGLICH","OK"))</f>
        <v/>
      </c>
    </row>
    <row r="379">
      <c r="A379" s="7">
        <f>IF(ROW()-1&lt;=Eingabe!$B$4-Eingabe!$B$3+1,Eingabe!$B$3+ROW()-2,"")</f>
        <v/>
      </c>
      <c r="B379" s="5">
        <f>IF(A379="","",TEXT(A379,"yyyy-mm-dd"))</f>
        <v/>
      </c>
      <c r="C379" s="5">
        <f>IF(A379="","",TEXT(A379,"ddd"))</f>
        <v/>
      </c>
      <c r="D379" s="5">
        <f>IF(A379="","",TEXT(A379,"yyyy-mm"))</f>
        <v/>
      </c>
      <c r="E379" s="5">
        <f>IF(A379="","",IF(A379&lt;Eingabe!$B$5,"",INT((A379-Eingabe!$B$5)/(Eingabe!$B$6*7))+1))</f>
        <v/>
      </c>
      <c r="F379" s="8">
        <f>IF(A379="","",SUMPRODUCT((Eingabe!$B$16:$B$165&lt;&gt;"")*(Eingabe!$J$16:$J$165)*--(A379&gt;=Eingabe!$G$16:$G$165)*--(A379&lt;=Eingabe!$H$16:$H$165)*--(WEEKDAY(A379,2)&lt;=5)))</f>
        <v/>
      </c>
      <c r="G379" s="8">
        <f>IF(A379="","",SUM($F$2:F379))</f>
        <v/>
      </c>
      <c r="H379" s="8">
        <f>IF(A379="","",Eingabe!$B$7-G379)</f>
        <v/>
      </c>
      <c r="I379" s="8">
        <f>IF(A379="","",Eingabe!$B$8-SUMIFS($F$2:F379,$D$2:D379,D379))</f>
        <v/>
      </c>
      <c r="J379" s="8">
        <f>IF(A379="","",IF(E379="",1E+99,IFERROR(VLOOKUP(E379,Eingabe!$D$5:$E$44,2,FALSE),Eingabe!$B$9)))</f>
        <v/>
      </c>
      <c r="K379" s="8">
        <f>IF(A379="","",IF(E379="",1E+99,J379-SUMIFS($F$2:F379,$E$2:E379,E379)))</f>
        <v/>
      </c>
      <c r="L379" s="5">
        <f>IF(A379="","",IF(OR(H379&lt;0,I379&lt;0,K379&lt;0),"UNMOEGLICH","OK"))</f>
        <v/>
      </c>
    </row>
    <row r="380">
      <c r="A380" s="7">
        <f>IF(ROW()-1&lt;=Eingabe!$B$4-Eingabe!$B$3+1,Eingabe!$B$3+ROW()-2,"")</f>
        <v/>
      </c>
      <c r="B380" s="5">
        <f>IF(A380="","",TEXT(A380,"yyyy-mm-dd"))</f>
        <v/>
      </c>
      <c r="C380" s="5">
        <f>IF(A380="","",TEXT(A380,"ddd"))</f>
        <v/>
      </c>
      <c r="D380" s="5">
        <f>IF(A380="","",TEXT(A380,"yyyy-mm"))</f>
        <v/>
      </c>
      <c r="E380" s="5">
        <f>IF(A380="","",IF(A380&lt;Eingabe!$B$5,"",INT((A380-Eingabe!$B$5)/(Eingabe!$B$6*7))+1))</f>
        <v/>
      </c>
      <c r="F380" s="8">
        <f>IF(A380="","",SUMPRODUCT((Eingabe!$B$16:$B$165&lt;&gt;"")*(Eingabe!$J$16:$J$165)*--(A380&gt;=Eingabe!$G$16:$G$165)*--(A380&lt;=Eingabe!$H$16:$H$165)*--(WEEKDAY(A380,2)&lt;=5)))</f>
        <v/>
      </c>
      <c r="G380" s="8">
        <f>IF(A380="","",SUM($F$2:F380))</f>
        <v/>
      </c>
      <c r="H380" s="8">
        <f>IF(A380="","",Eingabe!$B$7-G380)</f>
        <v/>
      </c>
      <c r="I380" s="8">
        <f>IF(A380="","",Eingabe!$B$8-SUMIFS($F$2:F380,$D$2:D380,D380))</f>
        <v/>
      </c>
      <c r="J380" s="8">
        <f>IF(A380="","",IF(E380="",1E+99,IFERROR(VLOOKUP(E380,Eingabe!$D$5:$E$44,2,FALSE),Eingabe!$B$9)))</f>
        <v/>
      </c>
      <c r="K380" s="8">
        <f>IF(A380="","",IF(E380="",1E+99,J380-SUMIFS($F$2:F380,$E$2:E380,E380)))</f>
        <v/>
      </c>
      <c r="L380" s="5">
        <f>IF(A380="","",IF(OR(H380&lt;0,I380&lt;0,K380&lt;0),"UNMOEGLICH","OK"))</f>
        <v/>
      </c>
    </row>
    <row r="381">
      <c r="A381" s="7">
        <f>IF(ROW()-1&lt;=Eingabe!$B$4-Eingabe!$B$3+1,Eingabe!$B$3+ROW()-2,"")</f>
        <v/>
      </c>
      <c r="B381" s="5">
        <f>IF(A381="","",TEXT(A381,"yyyy-mm-dd"))</f>
        <v/>
      </c>
      <c r="C381" s="5">
        <f>IF(A381="","",TEXT(A381,"ddd"))</f>
        <v/>
      </c>
      <c r="D381" s="5">
        <f>IF(A381="","",TEXT(A381,"yyyy-mm"))</f>
        <v/>
      </c>
      <c r="E381" s="5">
        <f>IF(A381="","",IF(A381&lt;Eingabe!$B$5,"",INT((A381-Eingabe!$B$5)/(Eingabe!$B$6*7))+1))</f>
        <v/>
      </c>
      <c r="F381" s="8">
        <f>IF(A381="","",SUMPRODUCT((Eingabe!$B$16:$B$165&lt;&gt;"")*(Eingabe!$J$16:$J$165)*--(A381&gt;=Eingabe!$G$16:$G$165)*--(A381&lt;=Eingabe!$H$16:$H$165)*--(WEEKDAY(A381,2)&lt;=5)))</f>
        <v/>
      </c>
      <c r="G381" s="8">
        <f>IF(A381="","",SUM($F$2:F381))</f>
        <v/>
      </c>
      <c r="H381" s="8">
        <f>IF(A381="","",Eingabe!$B$7-G381)</f>
        <v/>
      </c>
      <c r="I381" s="8">
        <f>IF(A381="","",Eingabe!$B$8-SUMIFS($F$2:F381,$D$2:D381,D381))</f>
        <v/>
      </c>
      <c r="J381" s="8">
        <f>IF(A381="","",IF(E381="",1E+99,IFERROR(VLOOKUP(E381,Eingabe!$D$5:$E$44,2,FALSE),Eingabe!$B$9)))</f>
        <v/>
      </c>
      <c r="K381" s="8">
        <f>IF(A381="","",IF(E381="",1E+99,J381-SUMIFS($F$2:F381,$E$2:E381,E381)))</f>
        <v/>
      </c>
      <c r="L381" s="5">
        <f>IF(A381="","",IF(OR(H381&lt;0,I381&lt;0,K381&lt;0),"UNMOEGLICH","OK"))</f>
        <v/>
      </c>
    </row>
    <row r="382">
      <c r="A382" s="7">
        <f>IF(ROW()-1&lt;=Eingabe!$B$4-Eingabe!$B$3+1,Eingabe!$B$3+ROW()-2,"")</f>
        <v/>
      </c>
      <c r="B382" s="5">
        <f>IF(A382="","",TEXT(A382,"yyyy-mm-dd"))</f>
        <v/>
      </c>
      <c r="C382" s="5">
        <f>IF(A382="","",TEXT(A382,"ddd"))</f>
        <v/>
      </c>
      <c r="D382" s="5">
        <f>IF(A382="","",TEXT(A382,"yyyy-mm"))</f>
        <v/>
      </c>
      <c r="E382" s="5">
        <f>IF(A382="","",IF(A382&lt;Eingabe!$B$5,"",INT((A382-Eingabe!$B$5)/(Eingabe!$B$6*7))+1))</f>
        <v/>
      </c>
      <c r="F382" s="8">
        <f>IF(A382="","",SUMPRODUCT((Eingabe!$B$16:$B$165&lt;&gt;"")*(Eingabe!$J$16:$J$165)*--(A382&gt;=Eingabe!$G$16:$G$165)*--(A382&lt;=Eingabe!$H$16:$H$165)*--(WEEKDAY(A382,2)&lt;=5)))</f>
        <v/>
      </c>
      <c r="G382" s="8">
        <f>IF(A382="","",SUM($F$2:F382))</f>
        <v/>
      </c>
      <c r="H382" s="8">
        <f>IF(A382="","",Eingabe!$B$7-G382)</f>
        <v/>
      </c>
      <c r="I382" s="8">
        <f>IF(A382="","",Eingabe!$B$8-SUMIFS($F$2:F382,$D$2:D382,D382))</f>
        <v/>
      </c>
      <c r="J382" s="8">
        <f>IF(A382="","",IF(E382="",1E+99,IFERROR(VLOOKUP(E382,Eingabe!$D$5:$E$44,2,FALSE),Eingabe!$B$9)))</f>
        <v/>
      </c>
      <c r="K382" s="8">
        <f>IF(A382="","",IF(E382="",1E+99,J382-SUMIFS($F$2:F382,$E$2:E382,E382)))</f>
        <v/>
      </c>
      <c r="L382" s="5">
        <f>IF(A382="","",IF(OR(H382&lt;0,I382&lt;0,K382&lt;0),"UNMOEGLICH","OK"))</f>
        <v/>
      </c>
    </row>
    <row r="383">
      <c r="A383" s="7">
        <f>IF(ROW()-1&lt;=Eingabe!$B$4-Eingabe!$B$3+1,Eingabe!$B$3+ROW()-2,"")</f>
        <v/>
      </c>
      <c r="B383" s="5">
        <f>IF(A383="","",TEXT(A383,"yyyy-mm-dd"))</f>
        <v/>
      </c>
      <c r="C383" s="5">
        <f>IF(A383="","",TEXT(A383,"ddd"))</f>
        <v/>
      </c>
      <c r="D383" s="5">
        <f>IF(A383="","",TEXT(A383,"yyyy-mm"))</f>
        <v/>
      </c>
      <c r="E383" s="5">
        <f>IF(A383="","",IF(A383&lt;Eingabe!$B$5,"",INT((A383-Eingabe!$B$5)/(Eingabe!$B$6*7))+1))</f>
        <v/>
      </c>
      <c r="F383" s="8">
        <f>IF(A383="","",SUMPRODUCT((Eingabe!$B$16:$B$165&lt;&gt;"")*(Eingabe!$J$16:$J$165)*--(A383&gt;=Eingabe!$G$16:$G$165)*--(A383&lt;=Eingabe!$H$16:$H$165)*--(WEEKDAY(A383,2)&lt;=5)))</f>
        <v/>
      </c>
      <c r="G383" s="8">
        <f>IF(A383="","",SUM($F$2:F383))</f>
        <v/>
      </c>
      <c r="H383" s="8">
        <f>IF(A383="","",Eingabe!$B$7-G383)</f>
        <v/>
      </c>
      <c r="I383" s="8">
        <f>IF(A383="","",Eingabe!$B$8-SUMIFS($F$2:F383,$D$2:D383,D383))</f>
        <v/>
      </c>
      <c r="J383" s="8">
        <f>IF(A383="","",IF(E383="",1E+99,IFERROR(VLOOKUP(E383,Eingabe!$D$5:$E$44,2,FALSE),Eingabe!$B$9)))</f>
        <v/>
      </c>
      <c r="K383" s="8">
        <f>IF(A383="","",IF(E383="",1E+99,J383-SUMIFS($F$2:F383,$E$2:E383,E383)))</f>
        <v/>
      </c>
      <c r="L383" s="5">
        <f>IF(A383="","",IF(OR(H383&lt;0,I383&lt;0,K383&lt;0),"UNMOEGLICH","OK"))</f>
        <v/>
      </c>
    </row>
    <row r="384">
      <c r="A384" s="7">
        <f>IF(ROW()-1&lt;=Eingabe!$B$4-Eingabe!$B$3+1,Eingabe!$B$3+ROW()-2,"")</f>
        <v/>
      </c>
      <c r="B384" s="5">
        <f>IF(A384="","",TEXT(A384,"yyyy-mm-dd"))</f>
        <v/>
      </c>
      <c r="C384" s="5">
        <f>IF(A384="","",TEXT(A384,"ddd"))</f>
        <v/>
      </c>
      <c r="D384" s="5">
        <f>IF(A384="","",TEXT(A384,"yyyy-mm"))</f>
        <v/>
      </c>
      <c r="E384" s="5">
        <f>IF(A384="","",IF(A384&lt;Eingabe!$B$5,"",INT((A384-Eingabe!$B$5)/(Eingabe!$B$6*7))+1))</f>
        <v/>
      </c>
      <c r="F384" s="8">
        <f>IF(A384="","",SUMPRODUCT((Eingabe!$B$16:$B$165&lt;&gt;"")*(Eingabe!$J$16:$J$165)*--(A384&gt;=Eingabe!$G$16:$G$165)*--(A384&lt;=Eingabe!$H$16:$H$165)*--(WEEKDAY(A384,2)&lt;=5)))</f>
        <v/>
      </c>
      <c r="G384" s="8">
        <f>IF(A384="","",SUM($F$2:F384))</f>
        <v/>
      </c>
      <c r="H384" s="8">
        <f>IF(A384="","",Eingabe!$B$7-G384)</f>
        <v/>
      </c>
      <c r="I384" s="8">
        <f>IF(A384="","",Eingabe!$B$8-SUMIFS($F$2:F384,$D$2:D384,D384))</f>
        <v/>
      </c>
      <c r="J384" s="8">
        <f>IF(A384="","",IF(E384="",1E+99,IFERROR(VLOOKUP(E384,Eingabe!$D$5:$E$44,2,FALSE),Eingabe!$B$9)))</f>
        <v/>
      </c>
      <c r="K384" s="8">
        <f>IF(A384="","",IF(E384="",1E+99,J384-SUMIFS($F$2:F384,$E$2:E384,E384)))</f>
        <v/>
      </c>
      <c r="L384" s="5">
        <f>IF(A384="","",IF(OR(H384&lt;0,I384&lt;0,K384&lt;0),"UNMOEGLICH","OK"))</f>
        <v/>
      </c>
    </row>
    <row r="385">
      <c r="A385" s="7">
        <f>IF(ROW()-1&lt;=Eingabe!$B$4-Eingabe!$B$3+1,Eingabe!$B$3+ROW()-2,"")</f>
        <v/>
      </c>
      <c r="B385" s="5">
        <f>IF(A385="","",TEXT(A385,"yyyy-mm-dd"))</f>
        <v/>
      </c>
      <c r="C385" s="5">
        <f>IF(A385="","",TEXT(A385,"ddd"))</f>
        <v/>
      </c>
      <c r="D385" s="5">
        <f>IF(A385="","",TEXT(A385,"yyyy-mm"))</f>
        <v/>
      </c>
      <c r="E385" s="5">
        <f>IF(A385="","",IF(A385&lt;Eingabe!$B$5,"",INT((A385-Eingabe!$B$5)/(Eingabe!$B$6*7))+1))</f>
        <v/>
      </c>
      <c r="F385" s="8">
        <f>IF(A385="","",SUMPRODUCT((Eingabe!$B$16:$B$165&lt;&gt;"")*(Eingabe!$J$16:$J$165)*--(A385&gt;=Eingabe!$G$16:$G$165)*--(A385&lt;=Eingabe!$H$16:$H$165)*--(WEEKDAY(A385,2)&lt;=5)))</f>
        <v/>
      </c>
      <c r="G385" s="8">
        <f>IF(A385="","",SUM($F$2:F385))</f>
        <v/>
      </c>
      <c r="H385" s="8">
        <f>IF(A385="","",Eingabe!$B$7-G385)</f>
        <v/>
      </c>
      <c r="I385" s="8">
        <f>IF(A385="","",Eingabe!$B$8-SUMIFS($F$2:F385,$D$2:D385,D385))</f>
        <v/>
      </c>
      <c r="J385" s="8">
        <f>IF(A385="","",IF(E385="",1E+99,IFERROR(VLOOKUP(E385,Eingabe!$D$5:$E$44,2,FALSE),Eingabe!$B$9)))</f>
        <v/>
      </c>
      <c r="K385" s="8">
        <f>IF(A385="","",IF(E385="",1E+99,J385-SUMIFS($F$2:F385,$E$2:E385,E385)))</f>
        <v/>
      </c>
      <c r="L385" s="5">
        <f>IF(A385="","",IF(OR(H385&lt;0,I385&lt;0,K385&lt;0),"UNMOEGLICH","OK"))</f>
        <v/>
      </c>
    </row>
    <row r="386">
      <c r="A386" s="7">
        <f>IF(ROW()-1&lt;=Eingabe!$B$4-Eingabe!$B$3+1,Eingabe!$B$3+ROW()-2,"")</f>
        <v/>
      </c>
      <c r="B386" s="5">
        <f>IF(A386="","",TEXT(A386,"yyyy-mm-dd"))</f>
        <v/>
      </c>
      <c r="C386" s="5">
        <f>IF(A386="","",TEXT(A386,"ddd"))</f>
        <v/>
      </c>
      <c r="D386" s="5">
        <f>IF(A386="","",TEXT(A386,"yyyy-mm"))</f>
        <v/>
      </c>
      <c r="E386" s="5">
        <f>IF(A386="","",IF(A386&lt;Eingabe!$B$5,"",INT((A386-Eingabe!$B$5)/(Eingabe!$B$6*7))+1))</f>
        <v/>
      </c>
      <c r="F386" s="8">
        <f>IF(A386="","",SUMPRODUCT((Eingabe!$B$16:$B$165&lt;&gt;"")*(Eingabe!$J$16:$J$165)*--(A386&gt;=Eingabe!$G$16:$G$165)*--(A386&lt;=Eingabe!$H$16:$H$165)*--(WEEKDAY(A386,2)&lt;=5)))</f>
        <v/>
      </c>
      <c r="G386" s="8">
        <f>IF(A386="","",SUM($F$2:F386))</f>
        <v/>
      </c>
      <c r="H386" s="8">
        <f>IF(A386="","",Eingabe!$B$7-G386)</f>
        <v/>
      </c>
      <c r="I386" s="8">
        <f>IF(A386="","",Eingabe!$B$8-SUMIFS($F$2:F386,$D$2:D386,D386))</f>
        <v/>
      </c>
      <c r="J386" s="8">
        <f>IF(A386="","",IF(E386="",1E+99,IFERROR(VLOOKUP(E386,Eingabe!$D$5:$E$44,2,FALSE),Eingabe!$B$9)))</f>
        <v/>
      </c>
      <c r="K386" s="8">
        <f>IF(A386="","",IF(E386="",1E+99,J386-SUMIFS($F$2:F386,$E$2:E386,E386)))</f>
        <v/>
      </c>
      <c r="L386" s="5">
        <f>IF(A386="","",IF(OR(H386&lt;0,I386&lt;0,K386&lt;0),"UNMOEGLICH","OK"))</f>
        <v/>
      </c>
    </row>
    <row r="387">
      <c r="A387" s="7">
        <f>IF(ROW()-1&lt;=Eingabe!$B$4-Eingabe!$B$3+1,Eingabe!$B$3+ROW()-2,"")</f>
        <v/>
      </c>
      <c r="B387" s="5">
        <f>IF(A387="","",TEXT(A387,"yyyy-mm-dd"))</f>
        <v/>
      </c>
      <c r="C387" s="5">
        <f>IF(A387="","",TEXT(A387,"ddd"))</f>
        <v/>
      </c>
      <c r="D387" s="5">
        <f>IF(A387="","",TEXT(A387,"yyyy-mm"))</f>
        <v/>
      </c>
      <c r="E387" s="5">
        <f>IF(A387="","",IF(A387&lt;Eingabe!$B$5,"",INT((A387-Eingabe!$B$5)/(Eingabe!$B$6*7))+1))</f>
        <v/>
      </c>
      <c r="F387" s="8">
        <f>IF(A387="","",SUMPRODUCT((Eingabe!$B$16:$B$165&lt;&gt;"")*(Eingabe!$J$16:$J$165)*--(A387&gt;=Eingabe!$G$16:$G$165)*--(A387&lt;=Eingabe!$H$16:$H$165)*--(WEEKDAY(A387,2)&lt;=5)))</f>
        <v/>
      </c>
      <c r="G387" s="8">
        <f>IF(A387="","",SUM($F$2:F387))</f>
        <v/>
      </c>
      <c r="H387" s="8">
        <f>IF(A387="","",Eingabe!$B$7-G387)</f>
        <v/>
      </c>
      <c r="I387" s="8">
        <f>IF(A387="","",Eingabe!$B$8-SUMIFS($F$2:F387,$D$2:D387,D387))</f>
        <v/>
      </c>
      <c r="J387" s="8">
        <f>IF(A387="","",IF(E387="",1E+99,IFERROR(VLOOKUP(E387,Eingabe!$D$5:$E$44,2,FALSE),Eingabe!$B$9)))</f>
        <v/>
      </c>
      <c r="K387" s="8">
        <f>IF(A387="","",IF(E387="",1E+99,J387-SUMIFS($F$2:F387,$E$2:E387,E387)))</f>
        <v/>
      </c>
      <c r="L387" s="5">
        <f>IF(A387="","",IF(OR(H387&lt;0,I387&lt;0,K387&lt;0),"UNMOEGLICH","OK"))</f>
        <v/>
      </c>
    </row>
    <row r="388">
      <c r="A388" s="7">
        <f>IF(ROW()-1&lt;=Eingabe!$B$4-Eingabe!$B$3+1,Eingabe!$B$3+ROW()-2,"")</f>
        <v/>
      </c>
      <c r="B388" s="5">
        <f>IF(A388="","",TEXT(A388,"yyyy-mm-dd"))</f>
        <v/>
      </c>
      <c r="C388" s="5">
        <f>IF(A388="","",TEXT(A388,"ddd"))</f>
        <v/>
      </c>
      <c r="D388" s="5">
        <f>IF(A388="","",TEXT(A388,"yyyy-mm"))</f>
        <v/>
      </c>
      <c r="E388" s="5">
        <f>IF(A388="","",IF(A388&lt;Eingabe!$B$5,"",INT((A388-Eingabe!$B$5)/(Eingabe!$B$6*7))+1))</f>
        <v/>
      </c>
      <c r="F388" s="8">
        <f>IF(A388="","",SUMPRODUCT((Eingabe!$B$16:$B$165&lt;&gt;"")*(Eingabe!$J$16:$J$165)*--(A388&gt;=Eingabe!$G$16:$G$165)*--(A388&lt;=Eingabe!$H$16:$H$165)*--(WEEKDAY(A388,2)&lt;=5)))</f>
        <v/>
      </c>
      <c r="G388" s="8">
        <f>IF(A388="","",SUM($F$2:F388))</f>
        <v/>
      </c>
      <c r="H388" s="8">
        <f>IF(A388="","",Eingabe!$B$7-G388)</f>
        <v/>
      </c>
      <c r="I388" s="8">
        <f>IF(A388="","",Eingabe!$B$8-SUMIFS($F$2:F388,$D$2:D388,D388))</f>
        <v/>
      </c>
      <c r="J388" s="8">
        <f>IF(A388="","",IF(E388="",1E+99,IFERROR(VLOOKUP(E388,Eingabe!$D$5:$E$44,2,FALSE),Eingabe!$B$9)))</f>
        <v/>
      </c>
      <c r="K388" s="8">
        <f>IF(A388="","",IF(E388="",1E+99,J388-SUMIFS($F$2:F388,$E$2:E388,E388)))</f>
        <v/>
      </c>
      <c r="L388" s="5">
        <f>IF(A388="","",IF(OR(H388&lt;0,I388&lt;0,K388&lt;0),"UNMOEGLICH","OK"))</f>
        <v/>
      </c>
    </row>
    <row r="389">
      <c r="A389" s="7">
        <f>IF(ROW()-1&lt;=Eingabe!$B$4-Eingabe!$B$3+1,Eingabe!$B$3+ROW()-2,"")</f>
        <v/>
      </c>
      <c r="B389" s="5">
        <f>IF(A389="","",TEXT(A389,"yyyy-mm-dd"))</f>
        <v/>
      </c>
      <c r="C389" s="5">
        <f>IF(A389="","",TEXT(A389,"ddd"))</f>
        <v/>
      </c>
      <c r="D389" s="5">
        <f>IF(A389="","",TEXT(A389,"yyyy-mm"))</f>
        <v/>
      </c>
      <c r="E389" s="5">
        <f>IF(A389="","",IF(A389&lt;Eingabe!$B$5,"",INT((A389-Eingabe!$B$5)/(Eingabe!$B$6*7))+1))</f>
        <v/>
      </c>
      <c r="F389" s="8">
        <f>IF(A389="","",SUMPRODUCT((Eingabe!$B$16:$B$165&lt;&gt;"")*(Eingabe!$J$16:$J$165)*--(A389&gt;=Eingabe!$G$16:$G$165)*--(A389&lt;=Eingabe!$H$16:$H$165)*--(WEEKDAY(A389,2)&lt;=5)))</f>
        <v/>
      </c>
      <c r="G389" s="8">
        <f>IF(A389="","",SUM($F$2:F389))</f>
        <v/>
      </c>
      <c r="H389" s="8">
        <f>IF(A389="","",Eingabe!$B$7-G389)</f>
        <v/>
      </c>
      <c r="I389" s="8">
        <f>IF(A389="","",Eingabe!$B$8-SUMIFS($F$2:F389,$D$2:D389,D389))</f>
        <v/>
      </c>
      <c r="J389" s="8">
        <f>IF(A389="","",IF(E389="",1E+99,IFERROR(VLOOKUP(E389,Eingabe!$D$5:$E$44,2,FALSE),Eingabe!$B$9)))</f>
        <v/>
      </c>
      <c r="K389" s="8">
        <f>IF(A389="","",IF(E389="",1E+99,J389-SUMIFS($F$2:F389,$E$2:E389,E389)))</f>
        <v/>
      </c>
      <c r="L389" s="5">
        <f>IF(A389="","",IF(OR(H389&lt;0,I389&lt;0,K389&lt;0),"UNMOEGLICH","OK"))</f>
        <v/>
      </c>
    </row>
    <row r="390">
      <c r="A390" s="7">
        <f>IF(ROW()-1&lt;=Eingabe!$B$4-Eingabe!$B$3+1,Eingabe!$B$3+ROW()-2,"")</f>
        <v/>
      </c>
      <c r="B390" s="5">
        <f>IF(A390="","",TEXT(A390,"yyyy-mm-dd"))</f>
        <v/>
      </c>
      <c r="C390" s="5">
        <f>IF(A390="","",TEXT(A390,"ddd"))</f>
        <v/>
      </c>
      <c r="D390" s="5">
        <f>IF(A390="","",TEXT(A390,"yyyy-mm"))</f>
        <v/>
      </c>
      <c r="E390" s="5">
        <f>IF(A390="","",IF(A390&lt;Eingabe!$B$5,"",INT((A390-Eingabe!$B$5)/(Eingabe!$B$6*7))+1))</f>
        <v/>
      </c>
      <c r="F390" s="8">
        <f>IF(A390="","",SUMPRODUCT((Eingabe!$B$16:$B$165&lt;&gt;"")*(Eingabe!$J$16:$J$165)*--(A390&gt;=Eingabe!$G$16:$G$165)*--(A390&lt;=Eingabe!$H$16:$H$165)*--(WEEKDAY(A390,2)&lt;=5)))</f>
        <v/>
      </c>
      <c r="G390" s="8">
        <f>IF(A390="","",SUM($F$2:F390))</f>
        <v/>
      </c>
      <c r="H390" s="8">
        <f>IF(A390="","",Eingabe!$B$7-G390)</f>
        <v/>
      </c>
      <c r="I390" s="8">
        <f>IF(A390="","",Eingabe!$B$8-SUMIFS($F$2:F390,$D$2:D390,D390))</f>
        <v/>
      </c>
      <c r="J390" s="8">
        <f>IF(A390="","",IF(E390="",1E+99,IFERROR(VLOOKUP(E390,Eingabe!$D$5:$E$44,2,FALSE),Eingabe!$B$9)))</f>
        <v/>
      </c>
      <c r="K390" s="8">
        <f>IF(A390="","",IF(E390="",1E+99,J390-SUMIFS($F$2:F390,$E$2:E390,E390)))</f>
        <v/>
      </c>
      <c r="L390" s="5">
        <f>IF(A390="","",IF(OR(H390&lt;0,I390&lt;0,K390&lt;0),"UNMOEGLICH","OK"))</f>
        <v/>
      </c>
    </row>
    <row r="391">
      <c r="A391" s="7">
        <f>IF(ROW()-1&lt;=Eingabe!$B$4-Eingabe!$B$3+1,Eingabe!$B$3+ROW()-2,"")</f>
        <v/>
      </c>
      <c r="B391" s="5">
        <f>IF(A391="","",TEXT(A391,"yyyy-mm-dd"))</f>
        <v/>
      </c>
      <c r="C391" s="5">
        <f>IF(A391="","",TEXT(A391,"ddd"))</f>
        <v/>
      </c>
      <c r="D391" s="5">
        <f>IF(A391="","",TEXT(A391,"yyyy-mm"))</f>
        <v/>
      </c>
      <c r="E391" s="5">
        <f>IF(A391="","",IF(A391&lt;Eingabe!$B$5,"",INT((A391-Eingabe!$B$5)/(Eingabe!$B$6*7))+1))</f>
        <v/>
      </c>
      <c r="F391" s="8">
        <f>IF(A391="","",SUMPRODUCT((Eingabe!$B$16:$B$165&lt;&gt;"")*(Eingabe!$J$16:$J$165)*--(A391&gt;=Eingabe!$G$16:$G$165)*--(A391&lt;=Eingabe!$H$16:$H$165)*--(WEEKDAY(A391,2)&lt;=5)))</f>
        <v/>
      </c>
      <c r="G391" s="8">
        <f>IF(A391="","",SUM($F$2:F391))</f>
        <v/>
      </c>
      <c r="H391" s="8">
        <f>IF(A391="","",Eingabe!$B$7-G391)</f>
        <v/>
      </c>
      <c r="I391" s="8">
        <f>IF(A391="","",Eingabe!$B$8-SUMIFS($F$2:F391,$D$2:D391,D391))</f>
        <v/>
      </c>
      <c r="J391" s="8">
        <f>IF(A391="","",IF(E391="",1E+99,IFERROR(VLOOKUP(E391,Eingabe!$D$5:$E$44,2,FALSE),Eingabe!$B$9)))</f>
        <v/>
      </c>
      <c r="K391" s="8">
        <f>IF(A391="","",IF(E391="",1E+99,J391-SUMIFS($F$2:F391,$E$2:E391,E391)))</f>
        <v/>
      </c>
      <c r="L391" s="5">
        <f>IF(A391="","",IF(OR(H391&lt;0,I391&lt;0,K391&lt;0),"UNMOEGLICH","OK"))</f>
        <v/>
      </c>
    </row>
    <row r="392">
      <c r="A392" s="7">
        <f>IF(ROW()-1&lt;=Eingabe!$B$4-Eingabe!$B$3+1,Eingabe!$B$3+ROW()-2,"")</f>
        <v/>
      </c>
      <c r="B392" s="5">
        <f>IF(A392="","",TEXT(A392,"yyyy-mm-dd"))</f>
        <v/>
      </c>
      <c r="C392" s="5">
        <f>IF(A392="","",TEXT(A392,"ddd"))</f>
        <v/>
      </c>
      <c r="D392" s="5">
        <f>IF(A392="","",TEXT(A392,"yyyy-mm"))</f>
        <v/>
      </c>
      <c r="E392" s="5">
        <f>IF(A392="","",IF(A392&lt;Eingabe!$B$5,"",INT((A392-Eingabe!$B$5)/(Eingabe!$B$6*7))+1))</f>
        <v/>
      </c>
      <c r="F392" s="8">
        <f>IF(A392="","",SUMPRODUCT((Eingabe!$B$16:$B$165&lt;&gt;"")*(Eingabe!$J$16:$J$165)*--(A392&gt;=Eingabe!$G$16:$G$165)*--(A392&lt;=Eingabe!$H$16:$H$165)*--(WEEKDAY(A392,2)&lt;=5)))</f>
        <v/>
      </c>
      <c r="G392" s="8">
        <f>IF(A392="","",SUM($F$2:F392))</f>
        <v/>
      </c>
      <c r="H392" s="8">
        <f>IF(A392="","",Eingabe!$B$7-G392)</f>
        <v/>
      </c>
      <c r="I392" s="8">
        <f>IF(A392="","",Eingabe!$B$8-SUMIFS($F$2:F392,$D$2:D392,D392))</f>
        <v/>
      </c>
      <c r="J392" s="8">
        <f>IF(A392="","",IF(E392="",1E+99,IFERROR(VLOOKUP(E392,Eingabe!$D$5:$E$44,2,FALSE),Eingabe!$B$9)))</f>
        <v/>
      </c>
      <c r="K392" s="8">
        <f>IF(A392="","",IF(E392="",1E+99,J392-SUMIFS($F$2:F392,$E$2:E392,E392)))</f>
        <v/>
      </c>
      <c r="L392" s="5">
        <f>IF(A392="","",IF(OR(H392&lt;0,I392&lt;0,K392&lt;0),"UNMOEGLICH","OK"))</f>
        <v/>
      </c>
    </row>
    <row r="393">
      <c r="A393" s="7">
        <f>IF(ROW()-1&lt;=Eingabe!$B$4-Eingabe!$B$3+1,Eingabe!$B$3+ROW()-2,"")</f>
        <v/>
      </c>
      <c r="B393" s="5">
        <f>IF(A393="","",TEXT(A393,"yyyy-mm-dd"))</f>
        <v/>
      </c>
      <c r="C393" s="5">
        <f>IF(A393="","",TEXT(A393,"ddd"))</f>
        <v/>
      </c>
      <c r="D393" s="5">
        <f>IF(A393="","",TEXT(A393,"yyyy-mm"))</f>
        <v/>
      </c>
      <c r="E393" s="5">
        <f>IF(A393="","",IF(A393&lt;Eingabe!$B$5,"",INT((A393-Eingabe!$B$5)/(Eingabe!$B$6*7))+1))</f>
        <v/>
      </c>
      <c r="F393" s="8">
        <f>IF(A393="","",SUMPRODUCT((Eingabe!$B$16:$B$165&lt;&gt;"")*(Eingabe!$J$16:$J$165)*--(A393&gt;=Eingabe!$G$16:$G$165)*--(A393&lt;=Eingabe!$H$16:$H$165)*--(WEEKDAY(A393,2)&lt;=5)))</f>
        <v/>
      </c>
      <c r="G393" s="8">
        <f>IF(A393="","",SUM($F$2:F393))</f>
        <v/>
      </c>
      <c r="H393" s="8">
        <f>IF(A393="","",Eingabe!$B$7-G393)</f>
        <v/>
      </c>
      <c r="I393" s="8">
        <f>IF(A393="","",Eingabe!$B$8-SUMIFS($F$2:F393,$D$2:D393,D393))</f>
        <v/>
      </c>
      <c r="J393" s="8">
        <f>IF(A393="","",IF(E393="",1E+99,IFERROR(VLOOKUP(E393,Eingabe!$D$5:$E$44,2,FALSE),Eingabe!$B$9)))</f>
        <v/>
      </c>
      <c r="K393" s="8">
        <f>IF(A393="","",IF(E393="",1E+99,J393-SUMIFS($F$2:F393,$E$2:E393,E393)))</f>
        <v/>
      </c>
      <c r="L393" s="5">
        <f>IF(A393="","",IF(OR(H393&lt;0,I393&lt;0,K393&lt;0),"UNMOEGLICH","OK"))</f>
        <v/>
      </c>
    </row>
    <row r="394">
      <c r="A394" s="7">
        <f>IF(ROW()-1&lt;=Eingabe!$B$4-Eingabe!$B$3+1,Eingabe!$B$3+ROW()-2,"")</f>
        <v/>
      </c>
      <c r="B394" s="5">
        <f>IF(A394="","",TEXT(A394,"yyyy-mm-dd"))</f>
        <v/>
      </c>
      <c r="C394" s="5">
        <f>IF(A394="","",TEXT(A394,"ddd"))</f>
        <v/>
      </c>
      <c r="D394" s="5">
        <f>IF(A394="","",TEXT(A394,"yyyy-mm"))</f>
        <v/>
      </c>
      <c r="E394" s="5">
        <f>IF(A394="","",IF(A394&lt;Eingabe!$B$5,"",INT((A394-Eingabe!$B$5)/(Eingabe!$B$6*7))+1))</f>
        <v/>
      </c>
      <c r="F394" s="8">
        <f>IF(A394="","",SUMPRODUCT((Eingabe!$B$16:$B$165&lt;&gt;"")*(Eingabe!$J$16:$J$165)*--(A394&gt;=Eingabe!$G$16:$G$165)*--(A394&lt;=Eingabe!$H$16:$H$165)*--(WEEKDAY(A394,2)&lt;=5)))</f>
        <v/>
      </c>
      <c r="G394" s="8">
        <f>IF(A394="","",SUM($F$2:F394))</f>
        <v/>
      </c>
      <c r="H394" s="8">
        <f>IF(A394="","",Eingabe!$B$7-G394)</f>
        <v/>
      </c>
      <c r="I394" s="8">
        <f>IF(A394="","",Eingabe!$B$8-SUMIFS($F$2:F394,$D$2:D394,D394))</f>
        <v/>
      </c>
      <c r="J394" s="8">
        <f>IF(A394="","",IF(E394="",1E+99,IFERROR(VLOOKUP(E394,Eingabe!$D$5:$E$44,2,FALSE),Eingabe!$B$9)))</f>
        <v/>
      </c>
      <c r="K394" s="8">
        <f>IF(A394="","",IF(E394="",1E+99,J394-SUMIFS($F$2:F394,$E$2:E394,E394)))</f>
        <v/>
      </c>
      <c r="L394" s="5">
        <f>IF(A394="","",IF(OR(H394&lt;0,I394&lt;0,K394&lt;0),"UNMOEGLICH","OK"))</f>
        <v/>
      </c>
    </row>
    <row r="395">
      <c r="A395" s="7">
        <f>IF(ROW()-1&lt;=Eingabe!$B$4-Eingabe!$B$3+1,Eingabe!$B$3+ROW()-2,"")</f>
        <v/>
      </c>
      <c r="B395" s="5">
        <f>IF(A395="","",TEXT(A395,"yyyy-mm-dd"))</f>
        <v/>
      </c>
      <c r="C395" s="5">
        <f>IF(A395="","",TEXT(A395,"ddd"))</f>
        <v/>
      </c>
      <c r="D395" s="5">
        <f>IF(A395="","",TEXT(A395,"yyyy-mm"))</f>
        <v/>
      </c>
      <c r="E395" s="5">
        <f>IF(A395="","",IF(A395&lt;Eingabe!$B$5,"",INT((A395-Eingabe!$B$5)/(Eingabe!$B$6*7))+1))</f>
        <v/>
      </c>
      <c r="F395" s="8">
        <f>IF(A395="","",SUMPRODUCT((Eingabe!$B$16:$B$165&lt;&gt;"")*(Eingabe!$J$16:$J$165)*--(A395&gt;=Eingabe!$G$16:$G$165)*--(A395&lt;=Eingabe!$H$16:$H$165)*--(WEEKDAY(A395,2)&lt;=5)))</f>
        <v/>
      </c>
      <c r="G395" s="8">
        <f>IF(A395="","",SUM($F$2:F395))</f>
        <v/>
      </c>
      <c r="H395" s="8">
        <f>IF(A395="","",Eingabe!$B$7-G395)</f>
        <v/>
      </c>
      <c r="I395" s="8">
        <f>IF(A395="","",Eingabe!$B$8-SUMIFS($F$2:F395,$D$2:D395,D395))</f>
        <v/>
      </c>
      <c r="J395" s="8">
        <f>IF(A395="","",IF(E395="",1E+99,IFERROR(VLOOKUP(E395,Eingabe!$D$5:$E$44,2,FALSE),Eingabe!$B$9)))</f>
        <v/>
      </c>
      <c r="K395" s="8">
        <f>IF(A395="","",IF(E395="",1E+99,J395-SUMIFS($F$2:F395,$E$2:E395,E395)))</f>
        <v/>
      </c>
      <c r="L395" s="5">
        <f>IF(A395="","",IF(OR(H395&lt;0,I395&lt;0,K395&lt;0),"UNMOEGLICH","OK"))</f>
        <v/>
      </c>
    </row>
    <row r="396">
      <c r="A396" s="7">
        <f>IF(ROW()-1&lt;=Eingabe!$B$4-Eingabe!$B$3+1,Eingabe!$B$3+ROW()-2,"")</f>
        <v/>
      </c>
      <c r="B396" s="5">
        <f>IF(A396="","",TEXT(A396,"yyyy-mm-dd"))</f>
        <v/>
      </c>
      <c r="C396" s="5">
        <f>IF(A396="","",TEXT(A396,"ddd"))</f>
        <v/>
      </c>
      <c r="D396" s="5">
        <f>IF(A396="","",TEXT(A396,"yyyy-mm"))</f>
        <v/>
      </c>
      <c r="E396" s="5">
        <f>IF(A396="","",IF(A396&lt;Eingabe!$B$5,"",INT((A396-Eingabe!$B$5)/(Eingabe!$B$6*7))+1))</f>
        <v/>
      </c>
      <c r="F396" s="8">
        <f>IF(A396="","",SUMPRODUCT((Eingabe!$B$16:$B$165&lt;&gt;"")*(Eingabe!$J$16:$J$165)*--(A396&gt;=Eingabe!$G$16:$G$165)*--(A396&lt;=Eingabe!$H$16:$H$165)*--(WEEKDAY(A396,2)&lt;=5)))</f>
        <v/>
      </c>
      <c r="G396" s="8">
        <f>IF(A396="","",SUM($F$2:F396))</f>
        <v/>
      </c>
      <c r="H396" s="8">
        <f>IF(A396="","",Eingabe!$B$7-G396)</f>
        <v/>
      </c>
      <c r="I396" s="8">
        <f>IF(A396="","",Eingabe!$B$8-SUMIFS($F$2:F396,$D$2:D396,D396))</f>
        <v/>
      </c>
      <c r="J396" s="8">
        <f>IF(A396="","",IF(E396="",1E+99,IFERROR(VLOOKUP(E396,Eingabe!$D$5:$E$44,2,FALSE),Eingabe!$B$9)))</f>
        <v/>
      </c>
      <c r="K396" s="8">
        <f>IF(A396="","",IF(E396="",1E+99,J396-SUMIFS($F$2:F396,$E$2:E396,E396)))</f>
        <v/>
      </c>
      <c r="L396" s="5">
        <f>IF(A396="","",IF(OR(H396&lt;0,I396&lt;0,K396&lt;0),"UNMOEGLICH","OK"))</f>
        <v/>
      </c>
    </row>
    <row r="397">
      <c r="A397" s="7">
        <f>IF(ROW()-1&lt;=Eingabe!$B$4-Eingabe!$B$3+1,Eingabe!$B$3+ROW()-2,"")</f>
        <v/>
      </c>
      <c r="B397" s="5">
        <f>IF(A397="","",TEXT(A397,"yyyy-mm-dd"))</f>
        <v/>
      </c>
      <c r="C397" s="5">
        <f>IF(A397="","",TEXT(A397,"ddd"))</f>
        <v/>
      </c>
      <c r="D397" s="5">
        <f>IF(A397="","",TEXT(A397,"yyyy-mm"))</f>
        <v/>
      </c>
      <c r="E397" s="5">
        <f>IF(A397="","",IF(A397&lt;Eingabe!$B$5,"",INT((A397-Eingabe!$B$5)/(Eingabe!$B$6*7))+1))</f>
        <v/>
      </c>
      <c r="F397" s="8">
        <f>IF(A397="","",SUMPRODUCT((Eingabe!$B$16:$B$165&lt;&gt;"")*(Eingabe!$J$16:$J$165)*--(A397&gt;=Eingabe!$G$16:$G$165)*--(A397&lt;=Eingabe!$H$16:$H$165)*--(WEEKDAY(A397,2)&lt;=5)))</f>
        <v/>
      </c>
      <c r="G397" s="8">
        <f>IF(A397="","",SUM($F$2:F397))</f>
        <v/>
      </c>
      <c r="H397" s="8">
        <f>IF(A397="","",Eingabe!$B$7-G397)</f>
        <v/>
      </c>
      <c r="I397" s="8">
        <f>IF(A397="","",Eingabe!$B$8-SUMIFS($F$2:F397,$D$2:D397,D397))</f>
        <v/>
      </c>
      <c r="J397" s="8">
        <f>IF(A397="","",IF(E397="",1E+99,IFERROR(VLOOKUP(E397,Eingabe!$D$5:$E$44,2,FALSE),Eingabe!$B$9)))</f>
        <v/>
      </c>
      <c r="K397" s="8">
        <f>IF(A397="","",IF(E397="",1E+99,J397-SUMIFS($F$2:F397,$E$2:E397,E397)))</f>
        <v/>
      </c>
      <c r="L397" s="5">
        <f>IF(A397="","",IF(OR(H397&lt;0,I397&lt;0,K397&lt;0),"UNMOEGLICH","OK"))</f>
        <v/>
      </c>
    </row>
    <row r="398">
      <c r="A398" s="7">
        <f>IF(ROW()-1&lt;=Eingabe!$B$4-Eingabe!$B$3+1,Eingabe!$B$3+ROW()-2,"")</f>
        <v/>
      </c>
      <c r="B398" s="5">
        <f>IF(A398="","",TEXT(A398,"yyyy-mm-dd"))</f>
        <v/>
      </c>
      <c r="C398" s="5">
        <f>IF(A398="","",TEXT(A398,"ddd"))</f>
        <v/>
      </c>
      <c r="D398" s="5">
        <f>IF(A398="","",TEXT(A398,"yyyy-mm"))</f>
        <v/>
      </c>
      <c r="E398" s="5">
        <f>IF(A398="","",IF(A398&lt;Eingabe!$B$5,"",INT((A398-Eingabe!$B$5)/(Eingabe!$B$6*7))+1))</f>
        <v/>
      </c>
      <c r="F398" s="8">
        <f>IF(A398="","",SUMPRODUCT((Eingabe!$B$16:$B$165&lt;&gt;"")*(Eingabe!$J$16:$J$165)*--(A398&gt;=Eingabe!$G$16:$G$165)*--(A398&lt;=Eingabe!$H$16:$H$165)*--(WEEKDAY(A398,2)&lt;=5)))</f>
        <v/>
      </c>
      <c r="G398" s="8">
        <f>IF(A398="","",SUM($F$2:F398))</f>
        <v/>
      </c>
      <c r="H398" s="8">
        <f>IF(A398="","",Eingabe!$B$7-G398)</f>
        <v/>
      </c>
      <c r="I398" s="8">
        <f>IF(A398="","",Eingabe!$B$8-SUMIFS($F$2:F398,$D$2:D398,D398))</f>
        <v/>
      </c>
      <c r="J398" s="8">
        <f>IF(A398="","",IF(E398="",1E+99,IFERROR(VLOOKUP(E398,Eingabe!$D$5:$E$44,2,FALSE),Eingabe!$B$9)))</f>
        <v/>
      </c>
      <c r="K398" s="8">
        <f>IF(A398="","",IF(E398="",1E+99,J398-SUMIFS($F$2:F398,$E$2:E398,E398)))</f>
        <v/>
      </c>
      <c r="L398" s="5">
        <f>IF(A398="","",IF(OR(H398&lt;0,I398&lt;0,K398&lt;0),"UNMOEGLICH","OK"))</f>
        <v/>
      </c>
    </row>
    <row r="399">
      <c r="A399" s="7">
        <f>IF(ROW()-1&lt;=Eingabe!$B$4-Eingabe!$B$3+1,Eingabe!$B$3+ROW()-2,"")</f>
        <v/>
      </c>
      <c r="B399" s="5">
        <f>IF(A399="","",TEXT(A399,"yyyy-mm-dd"))</f>
        <v/>
      </c>
      <c r="C399" s="5">
        <f>IF(A399="","",TEXT(A399,"ddd"))</f>
        <v/>
      </c>
      <c r="D399" s="5">
        <f>IF(A399="","",TEXT(A399,"yyyy-mm"))</f>
        <v/>
      </c>
      <c r="E399" s="5">
        <f>IF(A399="","",IF(A399&lt;Eingabe!$B$5,"",INT((A399-Eingabe!$B$5)/(Eingabe!$B$6*7))+1))</f>
        <v/>
      </c>
      <c r="F399" s="8">
        <f>IF(A399="","",SUMPRODUCT((Eingabe!$B$16:$B$165&lt;&gt;"")*(Eingabe!$J$16:$J$165)*--(A399&gt;=Eingabe!$G$16:$G$165)*--(A399&lt;=Eingabe!$H$16:$H$165)*--(WEEKDAY(A399,2)&lt;=5)))</f>
        <v/>
      </c>
      <c r="G399" s="8">
        <f>IF(A399="","",SUM($F$2:F399))</f>
        <v/>
      </c>
      <c r="H399" s="8">
        <f>IF(A399="","",Eingabe!$B$7-G399)</f>
        <v/>
      </c>
      <c r="I399" s="8">
        <f>IF(A399="","",Eingabe!$B$8-SUMIFS($F$2:F399,$D$2:D399,D399))</f>
        <v/>
      </c>
      <c r="J399" s="8">
        <f>IF(A399="","",IF(E399="",1E+99,IFERROR(VLOOKUP(E399,Eingabe!$D$5:$E$44,2,FALSE),Eingabe!$B$9)))</f>
        <v/>
      </c>
      <c r="K399" s="8">
        <f>IF(A399="","",IF(E399="",1E+99,J399-SUMIFS($F$2:F399,$E$2:E399,E399)))</f>
        <v/>
      </c>
      <c r="L399" s="5">
        <f>IF(A399="","",IF(OR(H399&lt;0,I399&lt;0,K399&lt;0),"UNMOEGLICH","OK"))</f>
        <v/>
      </c>
    </row>
    <row r="400">
      <c r="A400" s="7">
        <f>IF(ROW()-1&lt;=Eingabe!$B$4-Eingabe!$B$3+1,Eingabe!$B$3+ROW()-2,"")</f>
        <v/>
      </c>
      <c r="B400" s="5">
        <f>IF(A400="","",TEXT(A400,"yyyy-mm-dd"))</f>
        <v/>
      </c>
      <c r="C400" s="5">
        <f>IF(A400="","",TEXT(A400,"ddd"))</f>
        <v/>
      </c>
      <c r="D400" s="5">
        <f>IF(A400="","",TEXT(A400,"yyyy-mm"))</f>
        <v/>
      </c>
      <c r="E400" s="5">
        <f>IF(A400="","",IF(A400&lt;Eingabe!$B$5,"",INT((A400-Eingabe!$B$5)/(Eingabe!$B$6*7))+1))</f>
        <v/>
      </c>
      <c r="F400" s="8">
        <f>IF(A400="","",SUMPRODUCT((Eingabe!$B$16:$B$165&lt;&gt;"")*(Eingabe!$J$16:$J$165)*--(A400&gt;=Eingabe!$G$16:$G$165)*--(A400&lt;=Eingabe!$H$16:$H$165)*--(WEEKDAY(A400,2)&lt;=5)))</f>
        <v/>
      </c>
      <c r="G400" s="8">
        <f>IF(A400="","",SUM($F$2:F400))</f>
        <v/>
      </c>
      <c r="H400" s="8">
        <f>IF(A400="","",Eingabe!$B$7-G400)</f>
        <v/>
      </c>
      <c r="I400" s="8">
        <f>IF(A400="","",Eingabe!$B$8-SUMIFS($F$2:F400,$D$2:D400,D400))</f>
        <v/>
      </c>
      <c r="J400" s="8">
        <f>IF(A400="","",IF(E400="",1E+99,IFERROR(VLOOKUP(E400,Eingabe!$D$5:$E$44,2,FALSE),Eingabe!$B$9)))</f>
        <v/>
      </c>
      <c r="K400" s="8">
        <f>IF(A400="","",IF(E400="",1E+99,J400-SUMIFS($F$2:F400,$E$2:E400,E400)))</f>
        <v/>
      </c>
      <c r="L400" s="5">
        <f>IF(A400="","",IF(OR(H400&lt;0,I400&lt;0,K400&lt;0),"UNMOEGLICH","OK"))</f>
        <v/>
      </c>
    </row>
    <row r="401">
      <c r="A401" s="7">
        <f>IF(ROW()-1&lt;=Eingabe!$B$4-Eingabe!$B$3+1,Eingabe!$B$3+ROW()-2,"")</f>
        <v/>
      </c>
      <c r="B401" s="5">
        <f>IF(A401="","",TEXT(A401,"yyyy-mm-dd"))</f>
        <v/>
      </c>
      <c r="C401" s="5">
        <f>IF(A401="","",TEXT(A401,"ddd"))</f>
        <v/>
      </c>
      <c r="D401" s="5">
        <f>IF(A401="","",TEXT(A401,"yyyy-mm"))</f>
        <v/>
      </c>
      <c r="E401" s="5">
        <f>IF(A401="","",IF(A401&lt;Eingabe!$B$5,"",INT((A401-Eingabe!$B$5)/(Eingabe!$B$6*7))+1))</f>
        <v/>
      </c>
      <c r="F401" s="8">
        <f>IF(A401="","",SUMPRODUCT((Eingabe!$B$16:$B$165&lt;&gt;"")*(Eingabe!$J$16:$J$165)*--(A401&gt;=Eingabe!$G$16:$G$165)*--(A401&lt;=Eingabe!$H$16:$H$165)*--(WEEKDAY(A401,2)&lt;=5)))</f>
        <v/>
      </c>
      <c r="G401" s="8">
        <f>IF(A401="","",SUM($F$2:F401))</f>
        <v/>
      </c>
      <c r="H401" s="8">
        <f>IF(A401="","",Eingabe!$B$7-G401)</f>
        <v/>
      </c>
      <c r="I401" s="8">
        <f>IF(A401="","",Eingabe!$B$8-SUMIFS($F$2:F401,$D$2:D401,D401))</f>
        <v/>
      </c>
      <c r="J401" s="8">
        <f>IF(A401="","",IF(E401="",1E+99,IFERROR(VLOOKUP(E401,Eingabe!$D$5:$E$44,2,FALSE),Eingabe!$B$9)))</f>
        <v/>
      </c>
      <c r="K401" s="8">
        <f>IF(A401="","",IF(E401="",1E+99,J401-SUMIFS($F$2:F401,$E$2:E401,E401)))</f>
        <v/>
      </c>
      <c r="L401" s="5">
        <f>IF(A401="","",IF(OR(H401&lt;0,I401&lt;0,K401&lt;0),"UNMOEGLICH","OK"))</f>
        <v/>
      </c>
    </row>
    <row r="402">
      <c r="A402" s="7">
        <f>IF(ROW()-1&lt;=Eingabe!$B$4-Eingabe!$B$3+1,Eingabe!$B$3+ROW()-2,"")</f>
        <v/>
      </c>
      <c r="B402" s="5">
        <f>IF(A402="","",TEXT(A402,"yyyy-mm-dd"))</f>
        <v/>
      </c>
      <c r="C402" s="5">
        <f>IF(A402="","",TEXT(A402,"ddd"))</f>
        <v/>
      </c>
      <c r="D402" s="5">
        <f>IF(A402="","",TEXT(A402,"yyyy-mm"))</f>
        <v/>
      </c>
      <c r="E402" s="5">
        <f>IF(A402="","",IF(A402&lt;Eingabe!$B$5,"",INT((A402-Eingabe!$B$5)/(Eingabe!$B$6*7))+1))</f>
        <v/>
      </c>
      <c r="F402" s="8">
        <f>IF(A402="","",SUMPRODUCT((Eingabe!$B$16:$B$165&lt;&gt;"")*(Eingabe!$J$16:$J$165)*--(A402&gt;=Eingabe!$G$16:$G$165)*--(A402&lt;=Eingabe!$H$16:$H$165)*--(WEEKDAY(A402,2)&lt;=5)))</f>
        <v/>
      </c>
      <c r="G402" s="8">
        <f>IF(A402="","",SUM($F$2:F402))</f>
        <v/>
      </c>
      <c r="H402" s="8">
        <f>IF(A402="","",Eingabe!$B$7-G402)</f>
        <v/>
      </c>
      <c r="I402" s="8">
        <f>IF(A402="","",Eingabe!$B$8-SUMIFS($F$2:F402,$D$2:D402,D402))</f>
        <v/>
      </c>
      <c r="J402" s="8">
        <f>IF(A402="","",IF(E402="",1E+99,IFERROR(VLOOKUP(E402,Eingabe!$D$5:$E$44,2,FALSE),Eingabe!$B$9)))</f>
        <v/>
      </c>
      <c r="K402" s="8">
        <f>IF(A402="","",IF(E402="",1E+99,J402-SUMIFS($F$2:F402,$E$2:E402,E402)))</f>
        <v/>
      </c>
      <c r="L402" s="5">
        <f>IF(A402="","",IF(OR(H402&lt;0,I402&lt;0,K402&lt;0),"UNMOEGLICH","OK"))</f>
        <v/>
      </c>
    </row>
    <row r="403">
      <c r="A403" s="7">
        <f>IF(ROW()-1&lt;=Eingabe!$B$4-Eingabe!$B$3+1,Eingabe!$B$3+ROW()-2,"")</f>
        <v/>
      </c>
      <c r="B403" s="5">
        <f>IF(A403="","",TEXT(A403,"yyyy-mm-dd"))</f>
        <v/>
      </c>
      <c r="C403" s="5">
        <f>IF(A403="","",TEXT(A403,"ddd"))</f>
        <v/>
      </c>
      <c r="D403" s="5">
        <f>IF(A403="","",TEXT(A403,"yyyy-mm"))</f>
        <v/>
      </c>
      <c r="E403" s="5">
        <f>IF(A403="","",IF(A403&lt;Eingabe!$B$5,"",INT((A403-Eingabe!$B$5)/(Eingabe!$B$6*7))+1))</f>
        <v/>
      </c>
      <c r="F403" s="8">
        <f>IF(A403="","",SUMPRODUCT((Eingabe!$B$16:$B$165&lt;&gt;"")*(Eingabe!$J$16:$J$165)*--(A403&gt;=Eingabe!$G$16:$G$165)*--(A403&lt;=Eingabe!$H$16:$H$165)*--(WEEKDAY(A403,2)&lt;=5)))</f>
        <v/>
      </c>
      <c r="G403" s="8">
        <f>IF(A403="","",SUM($F$2:F403))</f>
        <v/>
      </c>
      <c r="H403" s="8">
        <f>IF(A403="","",Eingabe!$B$7-G403)</f>
        <v/>
      </c>
      <c r="I403" s="8">
        <f>IF(A403="","",Eingabe!$B$8-SUMIFS($F$2:F403,$D$2:D403,D403))</f>
        <v/>
      </c>
      <c r="J403" s="8">
        <f>IF(A403="","",IF(E403="",1E+99,IFERROR(VLOOKUP(E403,Eingabe!$D$5:$E$44,2,FALSE),Eingabe!$B$9)))</f>
        <v/>
      </c>
      <c r="K403" s="8">
        <f>IF(A403="","",IF(E403="",1E+99,J403-SUMIFS($F$2:F403,$E$2:E403,E403)))</f>
        <v/>
      </c>
      <c r="L403" s="5">
        <f>IF(A403="","",IF(OR(H403&lt;0,I403&lt;0,K403&lt;0),"UNMOEGLICH","OK"))</f>
        <v/>
      </c>
    </row>
    <row r="404">
      <c r="A404" s="7">
        <f>IF(ROW()-1&lt;=Eingabe!$B$4-Eingabe!$B$3+1,Eingabe!$B$3+ROW()-2,"")</f>
        <v/>
      </c>
      <c r="B404" s="5">
        <f>IF(A404="","",TEXT(A404,"yyyy-mm-dd"))</f>
        <v/>
      </c>
      <c r="C404" s="5">
        <f>IF(A404="","",TEXT(A404,"ddd"))</f>
        <v/>
      </c>
      <c r="D404" s="5">
        <f>IF(A404="","",TEXT(A404,"yyyy-mm"))</f>
        <v/>
      </c>
      <c r="E404" s="5">
        <f>IF(A404="","",IF(A404&lt;Eingabe!$B$5,"",INT((A404-Eingabe!$B$5)/(Eingabe!$B$6*7))+1))</f>
        <v/>
      </c>
      <c r="F404" s="8">
        <f>IF(A404="","",SUMPRODUCT((Eingabe!$B$16:$B$165&lt;&gt;"")*(Eingabe!$J$16:$J$165)*--(A404&gt;=Eingabe!$G$16:$G$165)*--(A404&lt;=Eingabe!$H$16:$H$165)*--(WEEKDAY(A404,2)&lt;=5)))</f>
        <v/>
      </c>
      <c r="G404" s="8">
        <f>IF(A404="","",SUM($F$2:F404))</f>
        <v/>
      </c>
      <c r="H404" s="8">
        <f>IF(A404="","",Eingabe!$B$7-G404)</f>
        <v/>
      </c>
      <c r="I404" s="8">
        <f>IF(A404="","",Eingabe!$B$8-SUMIFS($F$2:F404,$D$2:D404,D404))</f>
        <v/>
      </c>
      <c r="J404" s="8">
        <f>IF(A404="","",IF(E404="",1E+99,IFERROR(VLOOKUP(E404,Eingabe!$D$5:$E$44,2,FALSE),Eingabe!$B$9)))</f>
        <v/>
      </c>
      <c r="K404" s="8">
        <f>IF(A404="","",IF(E404="",1E+99,J404-SUMIFS($F$2:F404,$E$2:E404,E404)))</f>
        <v/>
      </c>
      <c r="L404" s="5">
        <f>IF(A404="","",IF(OR(H404&lt;0,I404&lt;0,K404&lt;0),"UNMOEGLICH","OK"))</f>
        <v/>
      </c>
    </row>
    <row r="405">
      <c r="A405" s="7">
        <f>IF(ROW()-1&lt;=Eingabe!$B$4-Eingabe!$B$3+1,Eingabe!$B$3+ROW()-2,"")</f>
        <v/>
      </c>
      <c r="B405" s="5">
        <f>IF(A405="","",TEXT(A405,"yyyy-mm-dd"))</f>
        <v/>
      </c>
      <c r="C405" s="5">
        <f>IF(A405="","",TEXT(A405,"ddd"))</f>
        <v/>
      </c>
      <c r="D405" s="5">
        <f>IF(A405="","",TEXT(A405,"yyyy-mm"))</f>
        <v/>
      </c>
      <c r="E405" s="5">
        <f>IF(A405="","",IF(A405&lt;Eingabe!$B$5,"",INT((A405-Eingabe!$B$5)/(Eingabe!$B$6*7))+1))</f>
        <v/>
      </c>
      <c r="F405" s="8">
        <f>IF(A405="","",SUMPRODUCT((Eingabe!$B$16:$B$165&lt;&gt;"")*(Eingabe!$J$16:$J$165)*--(A405&gt;=Eingabe!$G$16:$G$165)*--(A405&lt;=Eingabe!$H$16:$H$165)*--(WEEKDAY(A405,2)&lt;=5)))</f>
        <v/>
      </c>
      <c r="G405" s="8">
        <f>IF(A405="","",SUM($F$2:F405))</f>
        <v/>
      </c>
      <c r="H405" s="8">
        <f>IF(A405="","",Eingabe!$B$7-G405)</f>
        <v/>
      </c>
      <c r="I405" s="8">
        <f>IF(A405="","",Eingabe!$B$8-SUMIFS($F$2:F405,$D$2:D405,D405))</f>
        <v/>
      </c>
      <c r="J405" s="8">
        <f>IF(A405="","",IF(E405="",1E+99,IFERROR(VLOOKUP(E405,Eingabe!$D$5:$E$44,2,FALSE),Eingabe!$B$9)))</f>
        <v/>
      </c>
      <c r="K405" s="8">
        <f>IF(A405="","",IF(E405="",1E+99,J405-SUMIFS($F$2:F405,$E$2:E405,E405)))</f>
        <v/>
      </c>
      <c r="L405" s="5">
        <f>IF(A405="","",IF(OR(H405&lt;0,I405&lt;0,K405&lt;0),"UNMOEGLICH","OK"))</f>
        <v/>
      </c>
    </row>
    <row r="406">
      <c r="A406" s="7">
        <f>IF(ROW()-1&lt;=Eingabe!$B$4-Eingabe!$B$3+1,Eingabe!$B$3+ROW()-2,"")</f>
        <v/>
      </c>
      <c r="B406" s="5">
        <f>IF(A406="","",TEXT(A406,"yyyy-mm-dd"))</f>
        <v/>
      </c>
      <c r="C406" s="5">
        <f>IF(A406="","",TEXT(A406,"ddd"))</f>
        <v/>
      </c>
      <c r="D406" s="5">
        <f>IF(A406="","",TEXT(A406,"yyyy-mm"))</f>
        <v/>
      </c>
      <c r="E406" s="5">
        <f>IF(A406="","",IF(A406&lt;Eingabe!$B$5,"",INT((A406-Eingabe!$B$5)/(Eingabe!$B$6*7))+1))</f>
        <v/>
      </c>
      <c r="F406" s="8">
        <f>IF(A406="","",SUMPRODUCT((Eingabe!$B$16:$B$165&lt;&gt;"")*(Eingabe!$J$16:$J$165)*--(A406&gt;=Eingabe!$G$16:$G$165)*--(A406&lt;=Eingabe!$H$16:$H$165)*--(WEEKDAY(A406,2)&lt;=5)))</f>
        <v/>
      </c>
      <c r="G406" s="8">
        <f>IF(A406="","",SUM($F$2:F406))</f>
        <v/>
      </c>
      <c r="H406" s="8">
        <f>IF(A406="","",Eingabe!$B$7-G406)</f>
        <v/>
      </c>
      <c r="I406" s="8">
        <f>IF(A406="","",Eingabe!$B$8-SUMIFS($F$2:F406,$D$2:D406,D406))</f>
        <v/>
      </c>
      <c r="J406" s="8">
        <f>IF(A406="","",IF(E406="",1E+99,IFERROR(VLOOKUP(E406,Eingabe!$D$5:$E$44,2,FALSE),Eingabe!$B$9)))</f>
        <v/>
      </c>
      <c r="K406" s="8">
        <f>IF(A406="","",IF(E406="",1E+99,J406-SUMIFS($F$2:F406,$E$2:E406,E406)))</f>
        <v/>
      </c>
      <c r="L406" s="5">
        <f>IF(A406="","",IF(OR(H406&lt;0,I406&lt;0,K406&lt;0),"UNMOEGLICH","OK"))</f>
        <v/>
      </c>
    </row>
    <row r="407">
      <c r="A407" s="7">
        <f>IF(ROW()-1&lt;=Eingabe!$B$4-Eingabe!$B$3+1,Eingabe!$B$3+ROW()-2,"")</f>
        <v/>
      </c>
      <c r="B407" s="5">
        <f>IF(A407="","",TEXT(A407,"yyyy-mm-dd"))</f>
        <v/>
      </c>
      <c r="C407" s="5">
        <f>IF(A407="","",TEXT(A407,"ddd"))</f>
        <v/>
      </c>
      <c r="D407" s="5">
        <f>IF(A407="","",TEXT(A407,"yyyy-mm"))</f>
        <v/>
      </c>
      <c r="E407" s="5">
        <f>IF(A407="","",IF(A407&lt;Eingabe!$B$5,"",INT((A407-Eingabe!$B$5)/(Eingabe!$B$6*7))+1))</f>
        <v/>
      </c>
      <c r="F407" s="8">
        <f>IF(A407="","",SUMPRODUCT((Eingabe!$B$16:$B$165&lt;&gt;"")*(Eingabe!$J$16:$J$165)*--(A407&gt;=Eingabe!$G$16:$G$165)*--(A407&lt;=Eingabe!$H$16:$H$165)*--(WEEKDAY(A407,2)&lt;=5)))</f>
        <v/>
      </c>
      <c r="G407" s="8">
        <f>IF(A407="","",SUM($F$2:F407))</f>
        <v/>
      </c>
      <c r="H407" s="8">
        <f>IF(A407="","",Eingabe!$B$7-G407)</f>
        <v/>
      </c>
      <c r="I407" s="8">
        <f>IF(A407="","",Eingabe!$B$8-SUMIFS($F$2:F407,$D$2:D407,D407))</f>
        <v/>
      </c>
      <c r="J407" s="8">
        <f>IF(A407="","",IF(E407="",1E+99,IFERROR(VLOOKUP(E407,Eingabe!$D$5:$E$44,2,FALSE),Eingabe!$B$9)))</f>
        <v/>
      </c>
      <c r="K407" s="8">
        <f>IF(A407="","",IF(E407="",1E+99,J407-SUMIFS($F$2:F407,$E$2:E407,E407)))</f>
        <v/>
      </c>
      <c r="L407" s="5">
        <f>IF(A407="","",IF(OR(H407&lt;0,I407&lt;0,K407&lt;0),"UNMOEGLICH","OK"))</f>
        <v/>
      </c>
    </row>
    <row r="408">
      <c r="A408" s="7">
        <f>IF(ROW()-1&lt;=Eingabe!$B$4-Eingabe!$B$3+1,Eingabe!$B$3+ROW()-2,"")</f>
        <v/>
      </c>
      <c r="B408" s="5">
        <f>IF(A408="","",TEXT(A408,"yyyy-mm-dd"))</f>
        <v/>
      </c>
      <c r="C408" s="5">
        <f>IF(A408="","",TEXT(A408,"ddd"))</f>
        <v/>
      </c>
      <c r="D408" s="5">
        <f>IF(A408="","",TEXT(A408,"yyyy-mm"))</f>
        <v/>
      </c>
      <c r="E408" s="5">
        <f>IF(A408="","",IF(A408&lt;Eingabe!$B$5,"",INT((A408-Eingabe!$B$5)/(Eingabe!$B$6*7))+1))</f>
        <v/>
      </c>
      <c r="F408" s="8">
        <f>IF(A408="","",SUMPRODUCT((Eingabe!$B$16:$B$165&lt;&gt;"")*(Eingabe!$J$16:$J$165)*--(A408&gt;=Eingabe!$G$16:$G$165)*--(A408&lt;=Eingabe!$H$16:$H$165)*--(WEEKDAY(A408,2)&lt;=5)))</f>
        <v/>
      </c>
      <c r="G408" s="8">
        <f>IF(A408="","",SUM($F$2:F408))</f>
        <v/>
      </c>
      <c r="H408" s="8">
        <f>IF(A408="","",Eingabe!$B$7-G408)</f>
        <v/>
      </c>
      <c r="I408" s="8">
        <f>IF(A408="","",Eingabe!$B$8-SUMIFS($F$2:F408,$D$2:D408,D408))</f>
        <v/>
      </c>
      <c r="J408" s="8">
        <f>IF(A408="","",IF(E408="",1E+99,IFERROR(VLOOKUP(E408,Eingabe!$D$5:$E$44,2,FALSE),Eingabe!$B$9)))</f>
        <v/>
      </c>
      <c r="K408" s="8">
        <f>IF(A408="","",IF(E408="",1E+99,J408-SUMIFS($F$2:F408,$E$2:E408,E408)))</f>
        <v/>
      </c>
      <c r="L408" s="5">
        <f>IF(A408="","",IF(OR(H408&lt;0,I408&lt;0,K408&lt;0),"UNMOEGLICH","OK"))</f>
        <v/>
      </c>
    </row>
    <row r="409">
      <c r="A409" s="7">
        <f>IF(ROW()-1&lt;=Eingabe!$B$4-Eingabe!$B$3+1,Eingabe!$B$3+ROW()-2,"")</f>
        <v/>
      </c>
      <c r="B409" s="5">
        <f>IF(A409="","",TEXT(A409,"yyyy-mm-dd"))</f>
        <v/>
      </c>
      <c r="C409" s="5">
        <f>IF(A409="","",TEXT(A409,"ddd"))</f>
        <v/>
      </c>
      <c r="D409" s="5">
        <f>IF(A409="","",TEXT(A409,"yyyy-mm"))</f>
        <v/>
      </c>
      <c r="E409" s="5">
        <f>IF(A409="","",IF(A409&lt;Eingabe!$B$5,"",INT((A409-Eingabe!$B$5)/(Eingabe!$B$6*7))+1))</f>
        <v/>
      </c>
      <c r="F409" s="8">
        <f>IF(A409="","",SUMPRODUCT((Eingabe!$B$16:$B$165&lt;&gt;"")*(Eingabe!$J$16:$J$165)*--(A409&gt;=Eingabe!$G$16:$G$165)*--(A409&lt;=Eingabe!$H$16:$H$165)*--(WEEKDAY(A409,2)&lt;=5)))</f>
        <v/>
      </c>
      <c r="G409" s="8">
        <f>IF(A409="","",SUM($F$2:F409))</f>
        <v/>
      </c>
      <c r="H409" s="8">
        <f>IF(A409="","",Eingabe!$B$7-G409)</f>
        <v/>
      </c>
      <c r="I409" s="8">
        <f>IF(A409="","",Eingabe!$B$8-SUMIFS($F$2:F409,$D$2:D409,D409))</f>
        <v/>
      </c>
      <c r="J409" s="8">
        <f>IF(A409="","",IF(E409="",1E+99,IFERROR(VLOOKUP(E409,Eingabe!$D$5:$E$44,2,FALSE),Eingabe!$B$9)))</f>
        <v/>
      </c>
      <c r="K409" s="8">
        <f>IF(A409="","",IF(E409="",1E+99,J409-SUMIFS($F$2:F409,$E$2:E409,E409)))</f>
        <v/>
      </c>
      <c r="L409" s="5">
        <f>IF(A409="","",IF(OR(H409&lt;0,I409&lt;0,K409&lt;0),"UNMOEGLICH","OK"))</f>
        <v/>
      </c>
    </row>
    <row r="410">
      <c r="A410" s="7">
        <f>IF(ROW()-1&lt;=Eingabe!$B$4-Eingabe!$B$3+1,Eingabe!$B$3+ROW()-2,"")</f>
        <v/>
      </c>
      <c r="B410" s="5">
        <f>IF(A410="","",TEXT(A410,"yyyy-mm-dd"))</f>
        <v/>
      </c>
      <c r="C410" s="5">
        <f>IF(A410="","",TEXT(A410,"ddd"))</f>
        <v/>
      </c>
      <c r="D410" s="5">
        <f>IF(A410="","",TEXT(A410,"yyyy-mm"))</f>
        <v/>
      </c>
      <c r="E410" s="5">
        <f>IF(A410="","",IF(A410&lt;Eingabe!$B$5,"",INT((A410-Eingabe!$B$5)/(Eingabe!$B$6*7))+1))</f>
        <v/>
      </c>
      <c r="F410" s="8">
        <f>IF(A410="","",SUMPRODUCT((Eingabe!$B$16:$B$165&lt;&gt;"")*(Eingabe!$J$16:$J$165)*--(A410&gt;=Eingabe!$G$16:$G$165)*--(A410&lt;=Eingabe!$H$16:$H$165)*--(WEEKDAY(A410,2)&lt;=5)))</f>
        <v/>
      </c>
      <c r="G410" s="8">
        <f>IF(A410="","",SUM($F$2:F410))</f>
        <v/>
      </c>
      <c r="H410" s="8">
        <f>IF(A410="","",Eingabe!$B$7-G410)</f>
        <v/>
      </c>
      <c r="I410" s="8">
        <f>IF(A410="","",Eingabe!$B$8-SUMIFS($F$2:F410,$D$2:D410,D410))</f>
        <v/>
      </c>
      <c r="J410" s="8">
        <f>IF(A410="","",IF(E410="",1E+99,IFERROR(VLOOKUP(E410,Eingabe!$D$5:$E$44,2,FALSE),Eingabe!$B$9)))</f>
        <v/>
      </c>
      <c r="K410" s="8">
        <f>IF(A410="","",IF(E410="",1E+99,J410-SUMIFS($F$2:F410,$E$2:E410,E410)))</f>
        <v/>
      </c>
      <c r="L410" s="5">
        <f>IF(A410="","",IF(OR(H410&lt;0,I410&lt;0,K410&lt;0),"UNMOEGLICH","OK"))</f>
        <v/>
      </c>
    </row>
    <row r="411">
      <c r="A411" s="7">
        <f>IF(ROW()-1&lt;=Eingabe!$B$4-Eingabe!$B$3+1,Eingabe!$B$3+ROW()-2,"")</f>
        <v/>
      </c>
      <c r="B411" s="5">
        <f>IF(A411="","",TEXT(A411,"yyyy-mm-dd"))</f>
        <v/>
      </c>
      <c r="C411" s="5">
        <f>IF(A411="","",TEXT(A411,"ddd"))</f>
        <v/>
      </c>
      <c r="D411" s="5">
        <f>IF(A411="","",TEXT(A411,"yyyy-mm"))</f>
        <v/>
      </c>
      <c r="E411" s="5">
        <f>IF(A411="","",IF(A411&lt;Eingabe!$B$5,"",INT((A411-Eingabe!$B$5)/(Eingabe!$B$6*7))+1))</f>
        <v/>
      </c>
      <c r="F411" s="8">
        <f>IF(A411="","",SUMPRODUCT((Eingabe!$B$16:$B$165&lt;&gt;"")*(Eingabe!$J$16:$J$165)*--(A411&gt;=Eingabe!$G$16:$G$165)*--(A411&lt;=Eingabe!$H$16:$H$165)*--(WEEKDAY(A411,2)&lt;=5)))</f>
        <v/>
      </c>
      <c r="G411" s="8">
        <f>IF(A411="","",SUM($F$2:F411))</f>
        <v/>
      </c>
      <c r="H411" s="8">
        <f>IF(A411="","",Eingabe!$B$7-G411)</f>
        <v/>
      </c>
      <c r="I411" s="8">
        <f>IF(A411="","",Eingabe!$B$8-SUMIFS($F$2:F411,$D$2:D411,D411))</f>
        <v/>
      </c>
      <c r="J411" s="8">
        <f>IF(A411="","",IF(E411="",1E+99,IFERROR(VLOOKUP(E411,Eingabe!$D$5:$E$44,2,FALSE),Eingabe!$B$9)))</f>
        <v/>
      </c>
      <c r="K411" s="8">
        <f>IF(A411="","",IF(E411="",1E+99,J411-SUMIFS($F$2:F411,$E$2:E411,E411)))</f>
        <v/>
      </c>
      <c r="L411" s="5">
        <f>IF(A411="","",IF(OR(H411&lt;0,I411&lt;0,K411&lt;0),"UNMOEGLICH","OK"))</f>
        <v/>
      </c>
    </row>
    <row r="412">
      <c r="A412" s="7">
        <f>IF(ROW()-1&lt;=Eingabe!$B$4-Eingabe!$B$3+1,Eingabe!$B$3+ROW()-2,"")</f>
        <v/>
      </c>
      <c r="B412" s="5">
        <f>IF(A412="","",TEXT(A412,"yyyy-mm-dd"))</f>
        <v/>
      </c>
      <c r="C412" s="5">
        <f>IF(A412="","",TEXT(A412,"ddd"))</f>
        <v/>
      </c>
      <c r="D412" s="5">
        <f>IF(A412="","",TEXT(A412,"yyyy-mm"))</f>
        <v/>
      </c>
      <c r="E412" s="5">
        <f>IF(A412="","",IF(A412&lt;Eingabe!$B$5,"",INT((A412-Eingabe!$B$5)/(Eingabe!$B$6*7))+1))</f>
        <v/>
      </c>
      <c r="F412" s="8">
        <f>IF(A412="","",SUMPRODUCT((Eingabe!$B$16:$B$165&lt;&gt;"")*(Eingabe!$J$16:$J$165)*--(A412&gt;=Eingabe!$G$16:$G$165)*--(A412&lt;=Eingabe!$H$16:$H$165)*--(WEEKDAY(A412,2)&lt;=5)))</f>
        <v/>
      </c>
      <c r="G412" s="8">
        <f>IF(A412="","",SUM($F$2:F412))</f>
        <v/>
      </c>
      <c r="H412" s="8">
        <f>IF(A412="","",Eingabe!$B$7-G412)</f>
        <v/>
      </c>
      <c r="I412" s="8">
        <f>IF(A412="","",Eingabe!$B$8-SUMIFS($F$2:F412,$D$2:D412,D412))</f>
        <v/>
      </c>
      <c r="J412" s="8">
        <f>IF(A412="","",IF(E412="",1E+99,IFERROR(VLOOKUP(E412,Eingabe!$D$5:$E$44,2,FALSE),Eingabe!$B$9)))</f>
        <v/>
      </c>
      <c r="K412" s="8">
        <f>IF(A412="","",IF(E412="",1E+99,J412-SUMIFS($F$2:F412,$E$2:E412,E412)))</f>
        <v/>
      </c>
      <c r="L412" s="5">
        <f>IF(A412="","",IF(OR(H412&lt;0,I412&lt;0,K412&lt;0),"UNMOEGLICH","OK"))</f>
        <v/>
      </c>
    </row>
    <row r="413">
      <c r="A413" s="7">
        <f>IF(ROW()-1&lt;=Eingabe!$B$4-Eingabe!$B$3+1,Eingabe!$B$3+ROW()-2,"")</f>
        <v/>
      </c>
      <c r="B413" s="5">
        <f>IF(A413="","",TEXT(A413,"yyyy-mm-dd"))</f>
        <v/>
      </c>
      <c r="C413" s="5">
        <f>IF(A413="","",TEXT(A413,"ddd"))</f>
        <v/>
      </c>
      <c r="D413" s="5">
        <f>IF(A413="","",TEXT(A413,"yyyy-mm"))</f>
        <v/>
      </c>
      <c r="E413" s="5">
        <f>IF(A413="","",IF(A413&lt;Eingabe!$B$5,"",INT((A413-Eingabe!$B$5)/(Eingabe!$B$6*7))+1))</f>
        <v/>
      </c>
      <c r="F413" s="8">
        <f>IF(A413="","",SUMPRODUCT((Eingabe!$B$16:$B$165&lt;&gt;"")*(Eingabe!$J$16:$J$165)*--(A413&gt;=Eingabe!$G$16:$G$165)*--(A413&lt;=Eingabe!$H$16:$H$165)*--(WEEKDAY(A413,2)&lt;=5)))</f>
        <v/>
      </c>
      <c r="G413" s="8">
        <f>IF(A413="","",SUM($F$2:F413))</f>
        <v/>
      </c>
      <c r="H413" s="8">
        <f>IF(A413="","",Eingabe!$B$7-G413)</f>
        <v/>
      </c>
      <c r="I413" s="8">
        <f>IF(A413="","",Eingabe!$B$8-SUMIFS($F$2:F413,$D$2:D413,D413))</f>
        <v/>
      </c>
      <c r="J413" s="8">
        <f>IF(A413="","",IF(E413="",1E+99,IFERROR(VLOOKUP(E413,Eingabe!$D$5:$E$44,2,FALSE),Eingabe!$B$9)))</f>
        <v/>
      </c>
      <c r="K413" s="8">
        <f>IF(A413="","",IF(E413="",1E+99,J413-SUMIFS($F$2:F413,$E$2:E413,E413)))</f>
        <v/>
      </c>
      <c r="L413" s="5">
        <f>IF(A413="","",IF(OR(H413&lt;0,I413&lt;0,K413&lt;0),"UNMOEGLICH","OK"))</f>
        <v/>
      </c>
    </row>
    <row r="414">
      <c r="A414" s="7">
        <f>IF(ROW()-1&lt;=Eingabe!$B$4-Eingabe!$B$3+1,Eingabe!$B$3+ROW()-2,"")</f>
        <v/>
      </c>
      <c r="B414" s="5">
        <f>IF(A414="","",TEXT(A414,"yyyy-mm-dd"))</f>
        <v/>
      </c>
      <c r="C414" s="5">
        <f>IF(A414="","",TEXT(A414,"ddd"))</f>
        <v/>
      </c>
      <c r="D414" s="5">
        <f>IF(A414="","",TEXT(A414,"yyyy-mm"))</f>
        <v/>
      </c>
      <c r="E414" s="5">
        <f>IF(A414="","",IF(A414&lt;Eingabe!$B$5,"",INT((A414-Eingabe!$B$5)/(Eingabe!$B$6*7))+1))</f>
        <v/>
      </c>
      <c r="F414" s="8">
        <f>IF(A414="","",SUMPRODUCT((Eingabe!$B$16:$B$165&lt;&gt;"")*(Eingabe!$J$16:$J$165)*--(A414&gt;=Eingabe!$G$16:$G$165)*--(A414&lt;=Eingabe!$H$16:$H$165)*--(WEEKDAY(A414,2)&lt;=5)))</f>
        <v/>
      </c>
      <c r="G414" s="8">
        <f>IF(A414="","",SUM($F$2:F414))</f>
        <v/>
      </c>
      <c r="H414" s="8">
        <f>IF(A414="","",Eingabe!$B$7-G414)</f>
        <v/>
      </c>
      <c r="I414" s="8">
        <f>IF(A414="","",Eingabe!$B$8-SUMIFS($F$2:F414,$D$2:D414,D414))</f>
        <v/>
      </c>
      <c r="J414" s="8">
        <f>IF(A414="","",IF(E414="",1E+99,IFERROR(VLOOKUP(E414,Eingabe!$D$5:$E$44,2,FALSE),Eingabe!$B$9)))</f>
        <v/>
      </c>
      <c r="K414" s="8">
        <f>IF(A414="","",IF(E414="",1E+99,J414-SUMIFS($F$2:F414,$E$2:E414,E414)))</f>
        <v/>
      </c>
      <c r="L414" s="5">
        <f>IF(A414="","",IF(OR(H414&lt;0,I414&lt;0,K414&lt;0),"UNMOEGLICH","OK"))</f>
        <v/>
      </c>
    </row>
    <row r="415">
      <c r="A415" s="7">
        <f>IF(ROW()-1&lt;=Eingabe!$B$4-Eingabe!$B$3+1,Eingabe!$B$3+ROW()-2,"")</f>
        <v/>
      </c>
      <c r="B415" s="5">
        <f>IF(A415="","",TEXT(A415,"yyyy-mm-dd"))</f>
        <v/>
      </c>
      <c r="C415" s="5">
        <f>IF(A415="","",TEXT(A415,"ddd"))</f>
        <v/>
      </c>
      <c r="D415" s="5">
        <f>IF(A415="","",TEXT(A415,"yyyy-mm"))</f>
        <v/>
      </c>
      <c r="E415" s="5">
        <f>IF(A415="","",IF(A415&lt;Eingabe!$B$5,"",INT((A415-Eingabe!$B$5)/(Eingabe!$B$6*7))+1))</f>
        <v/>
      </c>
      <c r="F415" s="8">
        <f>IF(A415="","",SUMPRODUCT((Eingabe!$B$16:$B$165&lt;&gt;"")*(Eingabe!$J$16:$J$165)*--(A415&gt;=Eingabe!$G$16:$G$165)*--(A415&lt;=Eingabe!$H$16:$H$165)*--(WEEKDAY(A415,2)&lt;=5)))</f>
        <v/>
      </c>
      <c r="G415" s="8">
        <f>IF(A415="","",SUM($F$2:F415))</f>
        <v/>
      </c>
      <c r="H415" s="8">
        <f>IF(A415="","",Eingabe!$B$7-G415)</f>
        <v/>
      </c>
      <c r="I415" s="8">
        <f>IF(A415="","",Eingabe!$B$8-SUMIFS($F$2:F415,$D$2:D415,D415))</f>
        <v/>
      </c>
      <c r="J415" s="8">
        <f>IF(A415="","",IF(E415="",1E+99,IFERROR(VLOOKUP(E415,Eingabe!$D$5:$E$44,2,FALSE),Eingabe!$B$9)))</f>
        <v/>
      </c>
      <c r="K415" s="8">
        <f>IF(A415="","",IF(E415="",1E+99,J415-SUMIFS($F$2:F415,$E$2:E415,E415)))</f>
        <v/>
      </c>
      <c r="L415" s="5">
        <f>IF(A415="","",IF(OR(H415&lt;0,I415&lt;0,K415&lt;0),"UNMOEGLICH","OK"))</f>
        <v/>
      </c>
    </row>
    <row r="416">
      <c r="A416" s="7">
        <f>IF(ROW()-1&lt;=Eingabe!$B$4-Eingabe!$B$3+1,Eingabe!$B$3+ROW()-2,"")</f>
        <v/>
      </c>
      <c r="B416" s="5">
        <f>IF(A416="","",TEXT(A416,"yyyy-mm-dd"))</f>
        <v/>
      </c>
      <c r="C416" s="5">
        <f>IF(A416="","",TEXT(A416,"ddd"))</f>
        <v/>
      </c>
      <c r="D416" s="5">
        <f>IF(A416="","",TEXT(A416,"yyyy-mm"))</f>
        <v/>
      </c>
      <c r="E416" s="5">
        <f>IF(A416="","",IF(A416&lt;Eingabe!$B$5,"",INT((A416-Eingabe!$B$5)/(Eingabe!$B$6*7))+1))</f>
        <v/>
      </c>
      <c r="F416" s="8">
        <f>IF(A416="","",SUMPRODUCT((Eingabe!$B$16:$B$165&lt;&gt;"")*(Eingabe!$J$16:$J$165)*--(A416&gt;=Eingabe!$G$16:$G$165)*--(A416&lt;=Eingabe!$H$16:$H$165)*--(WEEKDAY(A416,2)&lt;=5)))</f>
        <v/>
      </c>
      <c r="G416" s="8">
        <f>IF(A416="","",SUM($F$2:F416))</f>
        <v/>
      </c>
      <c r="H416" s="8">
        <f>IF(A416="","",Eingabe!$B$7-G416)</f>
        <v/>
      </c>
      <c r="I416" s="8">
        <f>IF(A416="","",Eingabe!$B$8-SUMIFS($F$2:F416,$D$2:D416,D416))</f>
        <v/>
      </c>
      <c r="J416" s="8">
        <f>IF(A416="","",IF(E416="",1E+99,IFERROR(VLOOKUP(E416,Eingabe!$D$5:$E$44,2,FALSE),Eingabe!$B$9)))</f>
        <v/>
      </c>
      <c r="K416" s="8">
        <f>IF(A416="","",IF(E416="",1E+99,J416-SUMIFS($F$2:F416,$E$2:E416,E416)))</f>
        <v/>
      </c>
      <c r="L416" s="5">
        <f>IF(A416="","",IF(OR(H416&lt;0,I416&lt;0,K416&lt;0),"UNMOEGLICH","OK"))</f>
        <v/>
      </c>
    </row>
    <row r="417">
      <c r="A417" s="7">
        <f>IF(ROW()-1&lt;=Eingabe!$B$4-Eingabe!$B$3+1,Eingabe!$B$3+ROW()-2,"")</f>
        <v/>
      </c>
      <c r="B417" s="5">
        <f>IF(A417="","",TEXT(A417,"yyyy-mm-dd"))</f>
        <v/>
      </c>
      <c r="C417" s="5">
        <f>IF(A417="","",TEXT(A417,"ddd"))</f>
        <v/>
      </c>
      <c r="D417" s="5">
        <f>IF(A417="","",TEXT(A417,"yyyy-mm"))</f>
        <v/>
      </c>
      <c r="E417" s="5">
        <f>IF(A417="","",IF(A417&lt;Eingabe!$B$5,"",INT((A417-Eingabe!$B$5)/(Eingabe!$B$6*7))+1))</f>
        <v/>
      </c>
      <c r="F417" s="8">
        <f>IF(A417="","",SUMPRODUCT((Eingabe!$B$16:$B$165&lt;&gt;"")*(Eingabe!$J$16:$J$165)*--(A417&gt;=Eingabe!$G$16:$G$165)*--(A417&lt;=Eingabe!$H$16:$H$165)*--(WEEKDAY(A417,2)&lt;=5)))</f>
        <v/>
      </c>
      <c r="G417" s="8">
        <f>IF(A417="","",SUM($F$2:F417))</f>
        <v/>
      </c>
      <c r="H417" s="8">
        <f>IF(A417="","",Eingabe!$B$7-G417)</f>
        <v/>
      </c>
      <c r="I417" s="8">
        <f>IF(A417="","",Eingabe!$B$8-SUMIFS($F$2:F417,$D$2:D417,D417))</f>
        <v/>
      </c>
      <c r="J417" s="8">
        <f>IF(A417="","",IF(E417="",1E+99,IFERROR(VLOOKUP(E417,Eingabe!$D$5:$E$44,2,FALSE),Eingabe!$B$9)))</f>
        <v/>
      </c>
      <c r="K417" s="8">
        <f>IF(A417="","",IF(E417="",1E+99,J417-SUMIFS($F$2:F417,$E$2:E417,E417)))</f>
        <v/>
      </c>
      <c r="L417" s="5">
        <f>IF(A417="","",IF(OR(H417&lt;0,I417&lt;0,K417&lt;0),"UNMOEGLICH","OK"))</f>
        <v/>
      </c>
    </row>
    <row r="418">
      <c r="A418" s="7">
        <f>IF(ROW()-1&lt;=Eingabe!$B$4-Eingabe!$B$3+1,Eingabe!$B$3+ROW()-2,"")</f>
        <v/>
      </c>
      <c r="B418" s="5">
        <f>IF(A418="","",TEXT(A418,"yyyy-mm-dd"))</f>
        <v/>
      </c>
      <c r="C418" s="5">
        <f>IF(A418="","",TEXT(A418,"ddd"))</f>
        <v/>
      </c>
      <c r="D418" s="5">
        <f>IF(A418="","",TEXT(A418,"yyyy-mm"))</f>
        <v/>
      </c>
      <c r="E418" s="5">
        <f>IF(A418="","",IF(A418&lt;Eingabe!$B$5,"",INT((A418-Eingabe!$B$5)/(Eingabe!$B$6*7))+1))</f>
        <v/>
      </c>
      <c r="F418" s="8">
        <f>IF(A418="","",SUMPRODUCT((Eingabe!$B$16:$B$165&lt;&gt;"")*(Eingabe!$J$16:$J$165)*--(A418&gt;=Eingabe!$G$16:$G$165)*--(A418&lt;=Eingabe!$H$16:$H$165)*--(WEEKDAY(A418,2)&lt;=5)))</f>
        <v/>
      </c>
      <c r="G418" s="8">
        <f>IF(A418="","",SUM($F$2:F418))</f>
        <v/>
      </c>
      <c r="H418" s="8">
        <f>IF(A418="","",Eingabe!$B$7-G418)</f>
        <v/>
      </c>
      <c r="I418" s="8">
        <f>IF(A418="","",Eingabe!$B$8-SUMIFS($F$2:F418,$D$2:D418,D418))</f>
        <v/>
      </c>
      <c r="J418" s="8">
        <f>IF(A418="","",IF(E418="",1E+99,IFERROR(VLOOKUP(E418,Eingabe!$D$5:$E$44,2,FALSE),Eingabe!$B$9)))</f>
        <v/>
      </c>
      <c r="K418" s="8">
        <f>IF(A418="","",IF(E418="",1E+99,J418-SUMIFS($F$2:F418,$E$2:E418,E418)))</f>
        <v/>
      </c>
      <c r="L418" s="5">
        <f>IF(A418="","",IF(OR(H418&lt;0,I418&lt;0,K418&lt;0),"UNMOEGLICH","OK"))</f>
        <v/>
      </c>
    </row>
    <row r="419">
      <c r="A419" s="7">
        <f>IF(ROW()-1&lt;=Eingabe!$B$4-Eingabe!$B$3+1,Eingabe!$B$3+ROW()-2,"")</f>
        <v/>
      </c>
      <c r="B419" s="5">
        <f>IF(A419="","",TEXT(A419,"yyyy-mm-dd"))</f>
        <v/>
      </c>
      <c r="C419" s="5">
        <f>IF(A419="","",TEXT(A419,"ddd"))</f>
        <v/>
      </c>
      <c r="D419" s="5">
        <f>IF(A419="","",TEXT(A419,"yyyy-mm"))</f>
        <v/>
      </c>
      <c r="E419" s="5">
        <f>IF(A419="","",IF(A419&lt;Eingabe!$B$5,"",INT((A419-Eingabe!$B$5)/(Eingabe!$B$6*7))+1))</f>
        <v/>
      </c>
      <c r="F419" s="8">
        <f>IF(A419="","",SUMPRODUCT((Eingabe!$B$16:$B$165&lt;&gt;"")*(Eingabe!$J$16:$J$165)*--(A419&gt;=Eingabe!$G$16:$G$165)*--(A419&lt;=Eingabe!$H$16:$H$165)*--(WEEKDAY(A419,2)&lt;=5)))</f>
        <v/>
      </c>
      <c r="G419" s="8">
        <f>IF(A419="","",SUM($F$2:F419))</f>
        <v/>
      </c>
      <c r="H419" s="8">
        <f>IF(A419="","",Eingabe!$B$7-G419)</f>
        <v/>
      </c>
      <c r="I419" s="8">
        <f>IF(A419="","",Eingabe!$B$8-SUMIFS($F$2:F419,$D$2:D419,D419))</f>
        <v/>
      </c>
      <c r="J419" s="8">
        <f>IF(A419="","",IF(E419="",1E+99,IFERROR(VLOOKUP(E419,Eingabe!$D$5:$E$44,2,FALSE),Eingabe!$B$9)))</f>
        <v/>
      </c>
      <c r="K419" s="8">
        <f>IF(A419="","",IF(E419="",1E+99,J419-SUMIFS($F$2:F419,$E$2:E419,E419)))</f>
        <v/>
      </c>
      <c r="L419" s="5">
        <f>IF(A419="","",IF(OR(H419&lt;0,I419&lt;0,K419&lt;0),"UNMOEGLICH","OK"))</f>
        <v/>
      </c>
    </row>
    <row r="420">
      <c r="A420" s="7">
        <f>IF(ROW()-1&lt;=Eingabe!$B$4-Eingabe!$B$3+1,Eingabe!$B$3+ROW()-2,"")</f>
        <v/>
      </c>
      <c r="B420" s="5">
        <f>IF(A420="","",TEXT(A420,"yyyy-mm-dd"))</f>
        <v/>
      </c>
      <c r="C420" s="5">
        <f>IF(A420="","",TEXT(A420,"ddd"))</f>
        <v/>
      </c>
      <c r="D420" s="5">
        <f>IF(A420="","",TEXT(A420,"yyyy-mm"))</f>
        <v/>
      </c>
      <c r="E420" s="5">
        <f>IF(A420="","",IF(A420&lt;Eingabe!$B$5,"",INT((A420-Eingabe!$B$5)/(Eingabe!$B$6*7))+1))</f>
        <v/>
      </c>
      <c r="F420" s="8">
        <f>IF(A420="","",SUMPRODUCT((Eingabe!$B$16:$B$165&lt;&gt;"")*(Eingabe!$J$16:$J$165)*--(A420&gt;=Eingabe!$G$16:$G$165)*--(A420&lt;=Eingabe!$H$16:$H$165)*--(WEEKDAY(A420,2)&lt;=5)))</f>
        <v/>
      </c>
      <c r="G420" s="8">
        <f>IF(A420="","",SUM($F$2:F420))</f>
        <v/>
      </c>
      <c r="H420" s="8">
        <f>IF(A420="","",Eingabe!$B$7-G420)</f>
        <v/>
      </c>
      <c r="I420" s="8">
        <f>IF(A420="","",Eingabe!$B$8-SUMIFS($F$2:F420,$D$2:D420,D420))</f>
        <v/>
      </c>
      <c r="J420" s="8">
        <f>IF(A420="","",IF(E420="",1E+99,IFERROR(VLOOKUP(E420,Eingabe!$D$5:$E$44,2,FALSE),Eingabe!$B$9)))</f>
        <v/>
      </c>
      <c r="K420" s="8">
        <f>IF(A420="","",IF(E420="",1E+99,J420-SUMIFS($F$2:F420,$E$2:E420,E420)))</f>
        <v/>
      </c>
      <c r="L420" s="5">
        <f>IF(A420="","",IF(OR(H420&lt;0,I420&lt;0,K420&lt;0),"UNMOEGLICH","OK"))</f>
        <v/>
      </c>
    </row>
    <row r="421">
      <c r="A421" s="7">
        <f>IF(ROW()-1&lt;=Eingabe!$B$4-Eingabe!$B$3+1,Eingabe!$B$3+ROW()-2,"")</f>
        <v/>
      </c>
      <c r="B421" s="5">
        <f>IF(A421="","",TEXT(A421,"yyyy-mm-dd"))</f>
        <v/>
      </c>
      <c r="C421" s="5">
        <f>IF(A421="","",TEXT(A421,"ddd"))</f>
        <v/>
      </c>
      <c r="D421" s="5">
        <f>IF(A421="","",TEXT(A421,"yyyy-mm"))</f>
        <v/>
      </c>
      <c r="E421" s="5">
        <f>IF(A421="","",IF(A421&lt;Eingabe!$B$5,"",INT((A421-Eingabe!$B$5)/(Eingabe!$B$6*7))+1))</f>
        <v/>
      </c>
      <c r="F421" s="8">
        <f>IF(A421="","",SUMPRODUCT((Eingabe!$B$16:$B$165&lt;&gt;"")*(Eingabe!$J$16:$J$165)*--(A421&gt;=Eingabe!$G$16:$G$165)*--(A421&lt;=Eingabe!$H$16:$H$165)*--(WEEKDAY(A421,2)&lt;=5)))</f>
        <v/>
      </c>
      <c r="G421" s="8">
        <f>IF(A421="","",SUM($F$2:F421))</f>
        <v/>
      </c>
      <c r="H421" s="8">
        <f>IF(A421="","",Eingabe!$B$7-G421)</f>
        <v/>
      </c>
      <c r="I421" s="8">
        <f>IF(A421="","",Eingabe!$B$8-SUMIFS($F$2:F421,$D$2:D421,D421))</f>
        <v/>
      </c>
      <c r="J421" s="8">
        <f>IF(A421="","",IF(E421="",1E+99,IFERROR(VLOOKUP(E421,Eingabe!$D$5:$E$44,2,FALSE),Eingabe!$B$9)))</f>
        <v/>
      </c>
      <c r="K421" s="8">
        <f>IF(A421="","",IF(E421="",1E+99,J421-SUMIFS($F$2:F421,$E$2:E421,E421)))</f>
        <v/>
      </c>
      <c r="L421" s="5">
        <f>IF(A421="","",IF(OR(H421&lt;0,I421&lt;0,K421&lt;0),"UNMOEGLICH","OK"))</f>
        <v/>
      </c>
    </row>
    <row r="422">
      <c r="A422" s="7">
        <f>IF(ROW()-1&lt;=Eingabe!$B$4-Eingabe!$B$3+1,Eingabe!$B$3+ROW()-2,"")</f>
        <v/>
      </c>
      <c r="B422" s="5">
        <f>IF(A422="","",TEXT(A422,"yyyy-mm-dd"))</f>
        <v/>
      </c>
      <c r="C422" s="5">
        <f>IF(A422="","",TEXT(A422,"ddd"))</f>
        <v/>
      </c>
      <c r="D422" s="5">
        <f>IF(A422="","",TEXT(A422,"yyyy-mm"))</f>
        <v/>
      </c>
      <c r="E422" s="5">
        <f>IF(A422="","",IF(A422&lt;Eingabe!$B$5,"",INT((A422-Eingabe!$B$5)/(Eingabe!$B$6*7))+1))</f>
        <v/>
      </c>
      <c r="F422" s="8">
        <f>IF(A422="","",SUMPRODUCT((Eingabe!$B$16:$B$165&lt;&gt;"")*(Eingabe!$J$16:$J$165)*--(A422&gt;=Eingabe!$G$16:$G$165)*--(A422&lt;=Eingabe!$H$16:$H$165)*--(WEEKDAY(A422,2)&lt;=5)))</f>
        <v/>
      </c>
      <c r="G422" s="8">
        <f>IF(A422="","",SUM($F$2:F422))</f>
        <v/>
      </c>
      <c r="H422" s="8">
        <f>IF(A422="","",Eingabe!$B$7-G422)</f>
        <v/>
      </c>
      <c r="I422" s="8">
        <f>IF(A422="","",Eingabe!$B$8-SUMIFS($F$2:F422,$D$2:D422,D422))</f>
        <v/>
      </c>
      <c r="J422" s="8">
        <f>IF(A422="","",IF(E422="",1E+99,IFERROR(VLOOKUP(E422,Eingabe!$D$5:$E$44,2,FALSE),Eingabe!$B$9)))</f>
        <v/>
      </c>
      <c r="K422" s="8">
        <f>IF(A422="","",IF(E422="",1E+99,J422-SUMIFS($F$2:F422,$E$2:E422,E422)))</f>
        <v/>
      </c>
      <c r="L422" s="5">
        <f>IF(A422="","",IF(OR(H422&lt;0,I422&lt;0,K422&lt;0),"UNMOEGLICH","OK"))</f>
        <v/>
      </c>
    </row>
    <row r="423">
      <c r="A423" s="7">
        <f>IF(ROW()-1&lt;=Eingabe!$B$4-Eingabe!$B$3+1,Eingabe!$B$3+ROW()-2,"")</f>
        <v/>
      </c>
      <c r="B423" s="5">
        <f>IF(A423="","",TEXT(A423,"yyyy-mm-dd"))</f>
        <v/>
      </c>
      <c r="C423" s="5">
        <f>IF(A423="","",TEXT(A423,"ddd"))</f>
        <v/>
      </c>
      <c r="D423" s="5">
        <f>IF(A423="","",TEXT(A423,"yyyy-mm"))</f>
        <v/>
      </c>
      <c r="E423" s="5">
        <f>IF(A423="","",IF(A423&lt;Eingabe!$B$5,"",INT((A423-Eingabe!$B$5)/(Eingabe!$B$6*7))+1))</f>
        <v/>
      </c>
      <c r="F423" s="8">
        <f>IF(A423="","",SUMPRODUCT((Eingabe!$B$16:$B$165&lt;&gt;"")*(Eingabe!$J$16:$J$165)*--(A423&gt;=Eingabe!$G$16:$G$165)*--(A423&lt;=Eingabe!$H$16:$H$165)*--(WEEKDAY(A423,2)&lt;=5)))</f>
        <v/>
      </c>
      <c r="G423" s="8">
        <f>IF(A423="","",SUM($F$2:F423))</f>
        <v/>
      </c>
      <c r="H423" s="8">
        <f>IF(A423="","",Eingabe!$B$7-G423)</f>
        <v/>
      </c>
      <c r="I423" s="8">
        <f>IF(A423="","",Eingabe!$B$8-SUMIFS($F$2:F423,$D$2:D423,D423))</f>
        <v/>
      </c>
      <c r="J423" s="8">
        <f>IF(A423="","",IF(E423="",1E+99,IFERROR(VLOOKUP(E423,Eingabe!$D$5:$E$44,2,FALSE),Eingabe!$B$9)))</f>
        <v/>
      </c>
      <c r="K423" s="8">
        <f>IF(A423="","",IF(E423="",1E+99,J423-SUMIFS($F$2:F423,$E$2:E423,E423)))</f>
        <v/>
      </c>
      <c r="L423" s="5">
        <f>IF(A423="","",IF(OR(H423&lt;0,I423&lt;0,K423&lt;0),"UNMOEGLICH","OK"))</f>
        <v/>
      </c>
    </row>
    <row r="424">
      <c r="A424" s="7">
        <f>IF(ROW()-1&lt;=Eingabe!$B$4-Eingabe!$B$3+1,Eingabe!$B$3+ROW()-2,"")</f>
        <v/>
      </c>
      <c r="B424" s="5">
        <f>IF(A424="","",TEXT(A424,"yyyy-mm-dd"))</f>
        <v/>
      </c>
      <c r="C424" s="5">
        <f>IF(A424="","",TEXT(A424,"ddd"))</f>
        <v/>
      </c>
      <c r="D424" s="5">
        <f>IF(A424="","",TEXT(A424,"yyyy-mm"))</f>
        <v/>
      </c>
      <c r="E424" s="5">
        <f>IF(A424="","",IF(A424&lt;Eingabe!$B$5,"",INT((A424-Eingabe!$B$5)/(Eingabe!$B$6*7))+1))</f>
        <v/>
      </c>
      <c r="F424" s="8">
        <f>IF(A424="","",SUMPRODUCT((Eingabe!$B$16:$B$165&lt;&gt;"")*(Eingabe!$J$16:$J$165)*--(A424&gt;=Eingabe!$G$16:$G$165)*--(A424&lt;=Eingabe!$H$16:$H$165)*--(WEEKDAY(A424,2)&lt;=5)))</f>
        <v/>
      </c>
      <c r="G424" s="8">
        <f>IF(A424="","",SUM($F$2:F424))</f>
        <v/>
      </c>
      <c r="H424" s="8">
        <f>IF(A424="","",Eingabe!$B$7-G424)</f>
        <v/>
      </c>
      <c r="I424" s="8">
        <f>IF(A424="","",Eingabe!$B$8-SUMIFS($F$2:F424,$D$2:D424,D424))</f>
        <v/>
      </c>
      <c r="J424" s="8">
        <f>IF(A424="","",IF(E424="",1E+99,IFERROR(VLOOKUP(E424,Eingabe!$D$5:$E$44,2,FALSE),Eingabe!$B$9)))</f>
        <v/>
      </c>
      <c r="K424" s="8">
        <f>IF(A424="","",IF(E424="",1E+99,J424-SUMIFS($F$2:F424,$E$2:E424,E424)))</f>
        <v/>
      </c>
      <c r="L424" s="5">
        <f>IF(A424="","",IF(OR(H424&lt;0,I424&lt;0,K424&lt;0),"UNMOEGLICH","OK"))</f>
        <v/>
      </c>
    </row>
    <row r="425">
      <c r="A425" s="7">
        <f>IF(ROW()-1&lt;=Eingabe!$B$4-Eingabe!$B$3+1,Eingabe!$B$3+ROW()-2,"")</f>
        <v/>
      </c>
      <c r="B425" s="5">
        <f>IF(A425="","",TEXT(A425,"yyyy-mm-dd"))</f>
        <v/>
      </c>
      <c r="C425" s="5">
        <f>IF(A425="","",TEXT(A425,"ddd"))</f>
        <v/>
      </c>
      <c r="D425" s="5">
        <f>IF(A425="","",TEXT(A425,"yyyy-mm"))</f>
        <v/>
      </c>
      <c r="E425" s="5">
        <f>IF(A425="","",IF(A425&lt;Eingabe!$B$5,"",INT((A425-Eingabe!$B$5)/(Eingabe!$B$6*7))+1))</f>
        <v/>
      </c>
      <c r="F425" s="8">
        <f>IF(A425="","",SUMPRODUCT((Eingabe!$B$16:$B$165&lt;&gt;"")*(Eingabe!$J$16:$J$165)*--(A425&gt;=Eingabe!$G$16:$G$165)*--(A425&lt;=Eingabe!$H$16:$H$165)*--(WEEKDAY(A425,2)&lt;=5)))</f>
        <v/>
      </c>
      <c r="G425" s="8">
        <f>IF(A425="","",SUM($F$2:F425))</f>
        <v/>
      </c>
      <c r="H425" s="8">
        <f>IF(A425="","",Eingabe!$B$7-G425)</f>
        <v/>
      </c>
      <c r="I425" s="8">
        <f>IF(A425="","",Eingabe!$B$8-SUMIFS($F$2:F425,$D$2:D425,D425))</f>
        <v/>
      </c>
      <c r="J425" s="8">
        <f>IF(A425="","",IF(E425="",1E+99,IFERROR(VLOOKUP(E425,Eingabe!$D$5:$E$44,2,FALSE),Eingabe!$B$9)))</f>
        <v/>
      </c>
      <c r="K425" s="8">
        <f>IF(A425="","",IF(E425="",1E+99,J425-SUMIFS($F$2:F425,$E$2:E425,E425)))</f>
        <v/>
      </c>
      <c r="L425" s="5">
        <f>IF(A425="","",IF(OR(H425&lt;0,I425&lt;0,K425&lt;0),"UNMOEGLICH","OK"))</f>
        <v/>
      </c>
    </row>
    <row r="426">
      <c r="A426" s="7">
        <f>IF(ROW()-1&lt;=Eingabe!$B$4-Eingabe!$B$3+1,Eingabe!$B$3+ROW()-2,"")</f>
        <v/>
      </c>
      <c r="B426" s="5">
        <f>IF(A426="","",TEXT(A426,"yyyy-mm-dd"))</f>
        <v/>
      </c>
      <c r="C426" s="5">
        <f>IF(A426="","",TEXT(A426,"ddd"))</f>
        <v/>
      </c>
      <c r="D426" s="5">
        <f>IF(A426="","",TEXT(A426,"yyyy-mm"))</f>
        <v/>
      </c>
      <c r="E426" s="5">
        <f>IF(A426="","",IF(A426&lt;Eingabe!$B$5,"",INT((A426-Eingabe!$B$5)/(Eingabe!$B$6*7))+1))</f>
        <v/>
      </c>
      <c r="F426" s="8">
        <f>IF(A426="","",SUMPRODUCT((Eingabe!$B$16:$B$165&lt;&gt;"")*(Eingabe!$J$16:$J$165)*--(A426&gt;=Eingabe!$G$16:$G$165)*--(A426&lt;=Eingabe!$H$16:$H$165)*--(WEEKDAY(A426,2)&lt;=5)))</f>
        <v/>
      </c>
      <c r="G426" s="8">
        <f>IF(A426="","",SUM($F$2:F426))</f>
        <v/>
      </c>
      <c r="H426" s="8">
        <f>IF(A426="","",Eingabe!$B$7-G426)</f>
        <v/>
      </c>
      <c r="I426" s="8">
        <f>IF(A426="","",Eingabe!$B$8-SUMIFS($F$2:F426,$D$2:D426,D426))</f>
        <v/>
      </c>
      <c r="J426" s="8">
        <f>IF(A426="","",IF(E426="",1E+99,IFERROR(VLOOKUP(E426,Eingabe!$D$5:$E$44,2,FALSE),Eingabe!$B$9)))</f>
        <v/>
      </c>
      <c r="K426" s="8">
        <f>IF(A426="","",IF(E426="",1E+99,J426-SUMIFS($F$2:F426,$E$2:E426,E426)))</f>
        <v/>
      </c>
      <c r="L426" s="5">
        <f>IF(A426="","",IF(OR(H426&lt;0,I426&lt;0,K426&lt;0),"UNMOEGLICH","OK"))</f>
        <v/>
      </c>
    </row>
    <row r="427">
      <c r="A427" s="7">
        <f>IF(ROW()-1&lt;=Eingabe!$B$4-Eingabe!$B$3+1,Eingabe!$B$3+ROW()-2,"")</f>
        <v/>
      </c>
      <c r="B427" s="5">
        <f>IF(A427="","",TEXT(A427,"yyyy-mm-dd"))</f>
        <v/>
      </c>
      <c r="C427" s="5">
        <f>IF(A427="","",TEXT(A427,"ddd"))</f>
        <v/>
      </c>
      <c r="D427" s="5">
        <f>IF(A427="","",TEXT(A427,"yyyy-mm"))</f>
        <v/>
      </c>
      <c r="E427" s="5">
        <f>IF(A427="","",IF(A427&lt;Eingabe!$B$5,"",INT((A427-Eingabe!$B$5)/(Eingabe!$B$6*7))+1))</f>
        <v/>
      </c>
      <c r="F427" s="8">
        <f>IF(A427="","",SUMPRODUCT((Eingabe!$B$16:$B$165&lt;&gt;"")*(Eingabe!$J$16:$J$165)*--(A427&gt;=Eingabe!$G$16:$G$165)*--(A427&lt;=Eingabe!$H$16:$H$165)*--(WEEKDAY(A427,2)&lt;=5)))</f>
        <v/>
      </c>
      <c r="G427" s="8">
        <f>IF(A427="","",SUM($F$2:F427))</f>
        <v/>
      </c>
      <c r="H427" s="8">
        <f>IF(A427="","",Eingabe!$B$7-G427)</f>
        <v/>
      </c>
      <c r="I427" s="8">
        <f>IF(A427="","",Eingabe!$B$8-SUMIFS($F$2:F427,$D$2:D427,D427))</f>
        <v/>
      </c>
      <c r="J427" s="8">
        <f>IF(A427="","",IF(E427="",1E+99,IFERROR(VLOOKUP(E427,Eingabe!$D$5:$E$44,2,FALSE),Eingabe!$B$9)))</f>
        <v/>
      </c>
      <c r="K427" s="8">
        <f>IF(A427="","",IF(E427="",1E+99,J427-SUMIFS($F$2:F427,$E$2:E427,E427)))</f>
        <v/>
      </c>
      <c r="L427" s="5">
        <f>IF(A427="","",IF(OR(H427&lt;0,I427&lt;0,K427&lt;0),"UNMOEGLICH","OK"))</f>
        <v/>
      </c>
    </row>
    <row r="428">
      <c r="A428" s="7">
        <f>IF(ROW()-1&lt;=Eingabe!$B$4-Eingabe!$B$3+1,Eingabe!$B$3+ROW()-2,"")</f>
        <v/>
      </c>
      <c r="B428" s="5">
        <f>IF(A428="","",TEXT(A428,"yyyy-mm-dd"))</f>
        <v/>
      </c>
      <c r="C428" s="5">
        <f>IF(A428="","",TEXT(A428,"ddd"))</f>
        <v/>
      </c>
      <c r="D428" s="5">
        <f>IF(A428="","",TEXT(A428,"yyyy-mm"))</f>
        <v/>
      </c>
      <c r="E428" s="5">
        <f>IF(A428="","",IF(A428&lt;Eingabe!$B$5,"",INT((A428-Eingabe!$B$5)/(Eingabe!$B$6*7))+1))</f>
        <v/>
      </c>
      <c r="F428" s="8">
        <f>IF(A428="","",SUMPRODUCT((Eingabe!$B$16:$B$165&lt;&gt;"")*(Eingabe!$J$16:$J$165)*--(A428&gt;=Eingabe!$G$16:$G$165)*--(A428&lt;=Eingabe!$H$16:$H$165)*--(WEEKDAY(A428,2)&lt;=5)))</f>
        <v/>
      </c>
      <c r="G428" s="8">
        <f>IF(A428="","",SUM($F$2:F428))</f>
        <v/>
      </c>
      <c r="H428" s="8">
        <f>IF(A428="","",Eingabe!$B$7-G428)</f>
        <v/>
      </c>
      <c r="I428" s="8">
        <f>IF(A428="","",Eingabe!$B$8-SUMIFS($F$2:F428,$D$2:D428,D428))</f>
        <v/>
      </c>
      <c r="J428" s="8">
        <f>IF(A428="","",IF(E428="",1E+99,IFERROR(VLOOKUP(E428,Eingabe!$D$5:$E$44,2,FALSE),Eingabe!$B$9)))</f>
        <v/>
      </c>
      <c r="K428" s="8">
        <f>IF(A428="","",IF(E428="",1E+99,J428-SUMIFS($F$2:F428,$E$2:E428,E428)))</f>
        <v/>
      </c>
      <c r="L428" s="5">
        <f>IF(A428="","",IF(OR(H428&lt;0,I428&lt;0,K428&lt;0),"UNMOEGLICH","OK"))</f>
        <v/>
      </c>
    </row>
    <row r="429">
      <c r="A429" s="7">
        <f>IF(ROW()-1&lt;=Eingabe!$B$4-Eingabe!$B$3+1,Eingabe!$B$3+ROW()-2,"")</f>
        <v/>
      </c>
      <c r="B429" s="5">
        <f>IF(A429="","",TEXT(A429,"yyyy-mm-dd"))</f>
        <v/>
      </c>
      <c r="C429" s="5">
        <f>IF(A429="","",TEXT(A429,"ddd"))</f>
        <v/>
      </c>
      <c r="D429" s="5">
        <f>IF(A429="","",TEXT(A429,"yyyy-mm"))</f>
        <v/>
      </c>
      <c r="E429" s="5">
        <f>IF(A429="","",IF(A429&lt;Eingabe!$B$5,"",INT((A429-Eingabe!$B$5)/(Eingabe!$B$6*7))+1))</f>
        <v/>
      </c>
      <c r="F429" s="8">
        <f>IF(A429="","",SUMPRODUCT((Eingabe!$B$16:$B$165&lt;&gt;"")*(Eingabe!$J$16:$J$165)*--(A429&gt;=Eingabe!$G$16:$G$165)*--(A429&lt;=Eingabe!$H$16:$H$165)*--(WEEKDAY(A429,2)&lt;=5)))</f>
        <v/>
      </c>
      <c r="G429" s="8">
        <f>IF(A429="","",SUM($F$2:F429))</f>
        <v/>
      </c>
      <c r="H429" s="8">
        <f>IF(A429="","",Eingabe!$B$7-G429)</f>
        <v/>
      </c>
      <c r="I429" s="8">
        <f>IF(A429="","",Eingabe!$B$8-SUMIFS($F$2:F429,$D$2:D429,D429))</f>
        <v/>
      </c>
      <c r="J429" s="8">
        <f>IF(A429="","",IF(E429="",1E+99,IFERROR(VLOOKUP(E429,Eingabe!$D$5:$E$44,2,FALSE),Eingabe!$B$9)))</f>
        <v/>
      </c>
      <c r="K429" s="8">
        <f>IF(A429="","",IF(E429="",1E+99,J429-SUMIFS($F$2:F429,$E$2:E429,E429)))</f>
        <v/>
      </c>
      <c r="L429" s="5">
        <f>IF(A429="","",IF(OR(H429&lt;0,I429&lt;0,K429&lt;0),"UNMOEGLICH","OK"))</f>
        <v/>
      </c>
    </row>
    <row r="430">
      <c r="A430" s="7">
        <f>IF(ROW()-1&lt;=Eingabe!$B$4-Eingabe!$B$3+1,Eingabe!$B$3+ROW()-2,"")</f>
        <v/>
      </c>
      <c r="B430" s="5">
        <f>IF(A430="","",TEXT(A430,"yyyy-mm-dd"))</f>
        <v/>
      </c>
      <c r="C430" s="5">
        <f>IF(A430="","",TEXT(A430,"ddd"))</f>
        <v/>
      </c>
      <c r="D430" s="5">
        <f>IF(A430="","",TEXT(A430,"yyyy-mm"))</f>
        <v/>
      </c>
      <c r="E430" s="5">
        <f>IF(A430="","",IF(A430&lt;Eingabe!$B$5,"",INT((A430-Eingabe!$B$5)/(Eingabe!$B$6*7))+1))</f>
        <v/>
      </c>
      <c r="F430" s="8">
        <f>IF(A430="","",SUMPRODUCT((Eingabe!$B$16:$B$165&lt;&gt;"")*(Eingabe!$J$16:$J$165)*--(A430&gt;=Eingabe!$G$16:$G$165)*--(A430&lt;=Eingabe!$H$16:$H$165)*--(WEEKDAY(A430,2)&lt;=5)))</f>
        <v/>
      </c>
      <c r="G430" s="8">
        <f>IF(A430="","",SUM($F$2:F430))</f>
        <v/>
      </c>
      <c r="H430" s="8">
        <f>IF(A430="","",Eingabe!$B$7-G430)</f>
        <v/>
      </c>
      <c r="I430" s="8">
        <f>IF(A430="","",Eingabe!$B$8-SUMIFS($F$2:F430,$D$2:D430,D430))</f>
        <v/>
      </c>
      <c r="J430" s="8">
        <f>IF(A430="","",IF(E430="",1E+99,IFERROR(VLOOKUP(E430,Eingabe!$D$5:$E$44,2,FALSE),Eingabe!$B$9)))</f>
        <v/>
      </c>
      <c r="K430" s="8">
        <f>IF(A430="","",IF(E430="",1E+99,J430-SUMIFS($F$2:F430,$E$2:E430,E430)))</f>
        <v/>
      </c>
      <c r="L430" s="5">
        <f>IF(A430="","",IF(OR(H430&lt;0,I430&lt;0,K430&lt;0),"UNMOEGLICH","OK"))</f>
        <v/>
      </c>
    </row>
    <row r="431">
      <c r="A431" s="7">
        <f>IF(ROW()-1&lt;=Eingabe!$B$4-Eingabe!$B$3+1,Eingabe!$B$3+ROW()-2,"")</f>
        <v/>
      </c>
      <c r="B431" s="5">
        <f>IF(A431="","",TEXT(A431,"yyyy-mm-dd"))</f>
        <v/>
      </c>
      <c r="C431" s="5">
        <f>IF(A431="","",TEXT(A431,"ddd"))</f>
        <v/>
      </c>
      <c r="D431" s="5">
        <f>IF(A431="","",TEXT(A431,"yyyy-mm"))</f>
        <v/>
      </c>
      <c r="E431" s="5">
        <f>IF(A431="","",IF(A431&lt;Eingabe!$B$5,"",INT((A431-Eingabe!$B$5)/(Eingabe!$B$6*7))+1))</f>
        <v/>
      </c>
      <c r="F431" s="8">
        <f>IF(A431="","",SUMPRODUCT((Eingabe!$B$16:$B$165&lt;&gt;"")*(Eingabe!$J$16:$J$165)*--(A431&gt;=Eingabe!$G$16:$G$165)*--(A431&lt;=Eingabe!$H$16:$H$165)*--(WEEKDAY(A431,2)&lt;=5)))</f>
        <v/>
      </c>
      <c r="G431" s="8">
        <f>IF(A431="","",SUM($F$2:F431))</f>
        <v/>
      </c>
      <c r="H431" s="8">
        <f>IF(A431="","",Eingabe!$B$7-G431)</f>
        <v/>
      </c>
      <c r="I431" s="8">
        <f>IF(A431="","",Eingabe!$B$8-SUMIFS($F$2:F431,$D$2:D431,D431))</f>
        <v/>
      </c>
      <c r="J431" s="8">
        <f>IF(A431="","",IF(E431="",1E+99,IFERROR(VLOOKUP(E431,Eingabe!$D$5:$E$44,2,FALSE),Eingabe!$B$9)))</f>
        <v/>
      </c>
      <c r="K431" s="8">
        <f>IF(A431="","",IF(E431="",1E+99,J431-SUMIFS($F$2:F431,$E$2:E431,E431)))</f>
        <v/>
      </c>
      <c r="L431" s="5">
        <f>IF(A431="","",IF(OR(H431&lt;0,I431&lt;0,K431&lt;0),"UNMOEGLICH","OK"))</f>
        <v/>
      </c>
    </row>
    <row r="432">
      <c r="A432" s="7">
        <f>IF(ROW()-1&lt;=Eingabe!$B$4-Eingabe!$B$3+1,Eingabe!$B$3+ROW()-2,"")</f>
        <v/>
      </c>
      <c r="B432" s="5">
        <f>IF(A432="","",TEXT(A432,"yyyy-mm-dd"))</f>
        <v/>
      </c>
      <c r="C432" s="5">
        <f>IF(A432="","",TEXT(A432,"ddd"))</f>
        <v/>
      </c>
      <c r="D432" s="5">
        <f>IF(A432="","",TEXT(A432,"yyyy-mm"))</f>
        <v/>
      </c>
      <c r="E432" s="5">
        <f>IF(A432="","",IF(A432&lt;Eingabe!$B$5,"",INT((A432-Eingabe!$B$5)/(Eingabe!$B$6*7))+1))</f>
        <v/>
      </c>
      <c r="F432" s="8">
        <f>IF(A432="","",SUMPRODUCT((Eingabe!$B$16:$B$165&lt;&gt;"")*(Eingabe!$J$16:$J$165)*--(A432&gt;=Eingabe!$G$16:$G$165)*--(A432&lt;=Eingabe!$H$16:$H$165)*--(WEEKDAY(A432,2)&lt;=5)))</f>
        <v/>
      </c>
      <c r="G432" s="8">
        <f>IF(A432="","",SUM($F$2:F432))</f>
        <v/>
      </c>
      <c r="H432" s="8">
        <f>IF(A432="","",Eingabe!$B$7-G432)</f>
        <v/>
      </c>
      <c r="I432" s="8">
        <f>IF(A432="","",Eingabe!$B$8-SUMIFS($F$2:F432,$D$2:D432,D432))</f>
        <v/>
      </c>
      <c r="J432" s="8">
        <f>IF(A432="","",IF(E432="",1E+99,IFERROR(VLOOKUP(E432,Eingabe!$D$5:$E$44,2,FALSE),Eingabe!$B$9)))</f>
        <v/>
      </c>
      <c r="K432" s="8">
        <f>IF(A432="","",IF(E432="",1E+99,J432-SUMIFS($F$2:F432,$E$2:E432,E432)))</f>
        <v/>
      </c>
      <c r="L432" s="5">
        <f>IF(A432="","",IF(OR(H432&lt;0,I432&lt;0,K432&lt;0),"UNMOEGLICH","OK"))</f>
        <v/>
      </c>
    </row>
    <row r="433">
      <c r="A433" s="7">
        <f>IF(ROW()-1&lt;=Eingabe!$B$4-Eingabe!$B$3+1,Eingabe!$B$3+ROW()-2,"")</f>
        <v/>
      </c>
      <c r="B433" s="5">
        <f>IF(A433="","",TEXT(A433,"yyyy-mm-dd"))</f>
        <v/>
      </c>
      <c r="C433" s="5">
        <f>IF(A433="","",TEXT(A433,"ddd"))</f>
        <v/>
      </c>
      <c r="D433" s="5">
        <f>IF(A433="","",TEXT(A433,"yyyy-mm"))</f>
        <v/>
      </c>
      <c r="E433" s="5">
        <f>IF(A433="","",IF(A433&lt;Eingabe!$B$5,"",INT((A433-Eingabe!$B$5)/(Eingabe!$B$6*7))+1))</f>
        <v/>
      </c>
      <c r="F433" s="8">
        <f>IF(A433="","",SUMPRODUCT((Eingabe!$B$16:$B$165&lt;&gt;"")*(Eingabe!$J$16:$J$165)*--(A433&gt;=Eingabe!$G$16:$G$165)*--(A433&lt;=Eingabe!$H$16:$H$165)*--(WEEKDAY(A433,2)&lt;=5)))</f>
        <v/>
      </c>
      <c r="G433" s="8">
        <f>IF(A433="","",SUM($F$2:F433))</f>
        <v/>
      </c>
      <c r="H433" s="8">
        <f>IF(A433="","",Eingabe!$B$7-G433)</f>
        <v/>
      </c>
      <c r="I433" s="8">
        <f>IF(A433="","",Eingabe!$B$8-SUMIFS($F$2:F433,$D$2:D433,D433))</f>
        <v/>
      </c>
      <c r="J433" s="8">
        <f>IF(A433="","",IF(E433="",1E+99,IFERROR(VLOOKUP(E433,Eingabe!$D$5:$E$44,2,FALSE),Eingabe!$B$9)))</f>
        <v/>
      </c>
      <c r="K433" s="8">
        <f>IF(A433="","",IF(E433="",1E+99,J433-SUMIFS($F$2:F433,$E$2:E433,E433)))</f>
        <v/>
      </c>
      <c r="L433" s="5">
        <f>IF(A433="","",IF(OR(H433&lt;0,I433&lt;0,K433&lt;0),"UNMOEGLICH","OK"))</f>
        <v/>
      </c>
    </row>
    <row r="434">
      <c r="A434" s="7">
        <f>IF(ROW()-1&lt;=Eingabe!$B$4-Eingabe!$B$3+1,Eingabe!$B$3+ROW()-2,"")</f>
        <v/>
      </c>
      <c r="B434" s="5">
        <f>IF(A434="","",TEXT(A434,"yyyy-mm-dd"))</f>
        <v/>
      </c>
      <c r="C434" s="5">
        <f>IF(A434="","",TEXT(A434,"ddd"))</f>
        <v/>
      </c>
      <c r="D434" s="5">
        <f>IF(A434="","",TEXT(A434,"yyyy-mm"))</f>
        <v/>
      </c>
      <c r="E434" s="5">
        <f>IF(A434="","",IF(A434&lt;Eingabe!$B$5,"",INT((A434-Eingabe!$B$5)/(Eingabe!$B$6*7))+1))</f>
        <v/>
      </c>
      <c r="F434" s="8">
        <f>IF(A434="","",SUMPRODUCT((Eingabe!$B$16:$B$165&lt;&gt;"")*(Eingabe!$J$16:$J$165)*--(A434&gt;=Eingabe!$G$16:$G$165)*--(A434&lt;=Eingabe!$H$16:$H$165)*--(WEEKDAY(A434,2)&lt;=5)))</f>
        <v/>
      </c>
      <c r="G434" s="8">
        <f>IF(A434="","",SUM($F$2:F434))</f>
        <v/>
      </c>
      <c r="H434" s="8">
        <f>IF(A434="","",Eingabe!$B$7-G434)</f>
        <v/>
      </c>
      <c r="I434" s="8">
        <f>IF(A434="","",Eingabe!$B$8-SUMIFS($F$2:F434,$D$2:D434,D434))</f>
        <v/>
      </c>
      <c r="J434" s="8">
        <f>IF(A434="","",IF(E434="",1E+99,IFERROR(VLOOKUP(E434,Eingabe!$D$5:$E$44,2,FALSE),Eingabe!$B$9)))</f>
        <v/>
      </c>
      <c r="K434" s="8">
        <f>IF(A434="","",IF(E434="",1E+99,J434-SUMIFS($F$2:F434,$E$2:E434,E434)))</f>
        <v/>
      </c>
      <c r="L434" s="5">
        <f>IF(A434="","",IF(OR(H434&lt;0,I434&lt;0,K434&lt;0),"UNMOEGLICH","OK"))</f>
        <v/>
      </c>
    </row>
    <row r="435">
      <c r="A435" s="7">
        <f>IF(ROW()-1&lt;=Eingabe!$B$4-Eingabe!$B$3+1,Eingabe!$B$3+ROW()-2,"")</f>
        <v/>
      </c>
      <c r="B435" s="5">
        <f>IF(A435="","",TEXT(A435,"yyyy-mm-dd"))</f>
        <v/>
      </c>
      <c r="C435" s="5">
        <f>IF(A435="","",TEXT(A435,"ddd"))</f>
        <v/>
      </c>
      <c r="D435" s="5">
        <f>IF(A435="","",TEXT(A435,"yyyy-mm"))</f>
        <v/>
      </c>
      <c r="E435" s="5">
        <f>IF(A435="","",IF(A435&lt;Eingabe!$B$5,"",INT((A435-Eingabe!$B$5)/(Eingabe!$B$6*7))+1))</f>
        <v/>
      </c>
      <c r="F435" s="8">
        <f>IF(A435="","",SUMPRODUCT((Eingabe!$B$16:$B$165&lt;&gt;"")*(Eingabe!$J$16:$J$165)*--(A435&gt;=Eingabe!$G$16:$G$165)*--(A435&lt;=Eingabe!$H$16:$H$165)*--(WEEKDAY(A435,2)&lt;=5)))</f>
        <v/>
      </c>
      <c r="G435" s="8">
        <f>IF(A435="","",SUM($F$2:F435))</f>
        <v/>
      </c>
      <c r="H435" s="8">
        <f>IF(A435="","",Eingabe!$B$7-G435)</f>
        <v/>
      </c>
      <c r="I435" s="8">
        <f>IF(A435="","",Eingabe!$B$8-SUMIFS($F$2:F435,$D$2:D435,D435))</f>
        <v/>
      </c>
      <c r="J435" s="8">
        <f>IF(A435="","",IF(E435="",1E+99,IFERROR(VLOOKUP(E435,Eingabe!$D$5:$E$44,2,FALSE),Eingabe!$B$9)))</f>
        <v/>
      </c>
      <c r="K435" s="8">
        <f>IF(A435="","",IF(E435="",1E+99,J435-SUMIFS($F$2:F435,$E$2:E435,E435)))</f>
        <v/>
      </c>
      <c r="L435" s="5">
        <f>IF(A435="","",IF(OR(H435&lt;0,I435&lt;0,K435&lt;0),"UNMOEGLICH","OK"))</f>
        <v/>
      </c>
    </row>
    <row r="436">
      <c r="A436" s="7">
        <f>IF(ROW()-1&lt;=Eingabe!$B$4-Eingabe!$B$3+1,Eingabe!$B$3+ROW()-2,"")</f>
        <v/>
      </c>
      <c r="B436" s="5">
        <f>IF(A436="","",TEXT(A436,"yyyy-mm-dd"))</f>
        <v/>
      </c>
      <c r="C436" s="5">
        <f>IF(A436="","",TEXT(A436,"ddd"))</f>
        <v/>
      </c>
      <c r="D436" s="5">
        <f>IF(A436="","",TEXT(A436,"yyyy-mm"))</f>
        <v/>
      </c>
      <c r="E436" s="5">
        <f>IF(A436="","",IF(A436&lt;Eingabe!$B$5,"",INT((A436-Eingabe!$B$5)/(Eingabe!$B$6*7))+1))</f>
        <v/>
      </c>
      <c r="F436" s="8">
        <f>IF(A436="","",SUMPRODUCT((Eingabe!$B$16:$B$165&lt;&gt;"")*(Eingabe!$J$16:$J$165)*--(A436&gt;=Eingabe!$G$16:$G$165)*--(A436&lt;=Eingabe!$H$16:$H$165)*--(WEEKDAY(A436,2)&lt;=5)))</f>
        <v/>
      </c>
      <c r="G436" s="8">
        <f>IF(A436="","",SUM($F$2:F436))</f>
        <v/>
      </c>
      <c r="H436" s="8">
        <f>IF(A436="","",Eingabe!$B$7-G436)</f>
        <v/>
      </c>
      <c r="I436" s="8">
        <f>IF(A436="","",Eingabe!$B$8-SUMIFS($F$2:F436,$D$2:D436,D436))</f>
        <v/>
      </c>
      <c r="J436" s="8">
        <f>IF(A436="","",IF(E436="",1E+99,IFERROR(VLOOKUP(E436,Eingabe!$D$5:$E$44,2,FALSE),Eingabe!$B$9)))</f>
        <v/>
      </c>
      <c r="K436" s="8">
        <f>IF(A436="","",IF(E436="",1E+99,J436-SUMIFS($F$2:F436,$E$2:E436,E436)))</f>
        <v/>
      </c>
      <c r="L436" s="5">
        <f>IF(A436="","",IF(OR(H436&lt;0,I436&lt;0,K436&lt;0),"UNMOEGLICH","OK"))</f>
        <v/>
      </c>
    </row>
    <row r="437">
      <c r="A437" s="7">
        <f>IF(ROW()-1&lt;=Eingabe!$B$4-Eingabe!$B$3+1,Eingabe!$B$3+ROW()-2,"")</f>
        <v/>
      </c>
      <c r="B437" s="5">
        <f>IF(A437="","",TEXT(A437,"yyyy-mm-dd"))</f>
        <v/>
      </c>
      <c r="C437" s="5">
        <f>IF(A437="","",TEXT(A437,"ddd"))</f>
        <v/>
      </c>
      <c r="D437" s="5">
        <f>IF(A437="","",TEXT(A437,"yyyy-mm"))</f>
        <v/>
      </c>
      <c r="E437" s="5">
        <f>IF(A437="","",IF(A437&lt;Eingabe!$B$5,"",INT((A437-Eingabe!$B$5)/(Eingabe!$B$6*7))+1))</f>
        <v/>
      </c>
      <c r="F437" s="8">
        <f>IF(A437="","",SUMPRODUCT((Eingabe!$B$16:$B$165&lt;&gt;"")*(Eingabe!$J$16:$J$165)*--(A437&gt;=Eingabe!$G$16:$G$165)*--(A437&lt;=Eingabe!$H$16:$H$165)*--(WEEKDAY(A437,2)&lt;=5)))</f>
        <v/>
      </c>
      <c r="G437" s="8">
        <f>IF(A437="","",SUM($F$2:F437))</f>
        <v/>
      </c>
      <c r="H437" s="8">
        <f>IF(A437="","",Eingabe!$B$7-G437)</f>
        <v/>
      </c>
      <c r="I437" s="8">
        <f>IF(A437="","",Eingabe!$B$8-SUMIFS($F$2:F437,$D$2:D437,D437))</f>
        <v/>
      </c>
      <c r="J437" s="8">
        <f>IF(A437="","",IF(E437="",1E+99,IFERROR(VLOOKUP(E437,Eingabe!$D$5:$E$44,2,FALSE),Eingabe!$B$9)))</f>
        <v/>
      </c>
      <c r="K437" s="8">
        <f>IF(A437="","",IF(E437="",1E+99,J437-SUMIFS($F$2:F437,$E$2:E437,E437)))</f>
        <v/>
      </c>
      <c r="L437" s="5">
        <f>IF(A437="","",IF(OR(H437&lt;0,I437&lt;0,K437&lt;0),"UNMOEGLICH","OK"))</f>
        <v/>
      </c>
    </row>
    <row r="438">
      <c r="A438" s="7">
        <f>IF(ROW()-1&lt;=Eingabe!$B$4-Eingabe!$B$3+1,Eingabe!$B$3+ROW()-2,"")</f>
        <v/>
      </c>
      <c r="B438" s="5">
        <f>IF(A438="","",TEXT(A438,"yyyy-mm-dd"))</f>
        <v/>
      </c>
      <c r="C438" s="5">
        <f>IF(A438="","",TEXT(A438,"ddd"))</f>
        <v/>
      </c>
      <c r="D438" s="5">
        <f>IF(A438="","",TEXT(A438,"yyyy-mm"))</f>
        <v/>
      </c>
      <c r="E438" s="5">
        <f>IF(A438="","",IF(A438&lt;Eingabe!$B$5,"",INT((A438-Eingabe!$B$5)/(Eingabe!$B$6*7))+1))</f>
        <v/>
      </c>
      <c r="F438" s="8">
        <f>IF(A438="","",SUMPRODUCT((Eingabe!$B$16:$B$165&lt;&gt;"")*(Eingabe!$J$16:$J$165)*--(A438&gt;=Eingabe!$G$16:$G$165)*--(A438&lt;=Eingabe!$H$16:$H$165)*--(WEEKDAY(A438,2)&lt;=5)))</f>
        <v/>
      </c>
      <c r="G438" s="8">
        <f>IF(A438="","",SUM($F$2:F438))</f>
        <v/>
      </c>
      <c r="H438" s="8">
        <f>IF(A438="","",Eingabe!$B$7-G438)</f>
        <v/>
      </c>
      <c r="I438" s="8">
        <f>IF(A438="","",Eingabe!$B$8-SUMIFS($F$2:F438,$D$2:D438,D438))</f>
        <v/>
      </c>
      <c r="J438" s="8">
        <f>IF(A438="","",IF(E438="",1E+99,IFERROR(VLOOKUP(E438,Eingabe!$D$5:$E$44,2,FALSE),Eingabe!$B$9)))</f>
        <v/>
      </c>
      <c r="K438" s="8">
        <f>IF(A438="","",IF(E438="",1E+99,J438-SUMIFS($F$2:F438,$E$2:E438,E438)))</f>
        <v/>
      </c>
      <c r="L438" s="5">
        <f>IF(A438="","",IF(OR(H438&lt;0,I438&lt;0,K438&lt;0),"UNMOEGLICH","OK"))</f>
        <v/>
      </c>
    </row>
    <row r="439">
      <c r="A439" s="7">
        <f>IF(ROW()-1&lt;=Eingabe!$B$4-Eingabe!$B$3+1,Eingabe!$B$3+ROW()-2,"")</f>
        <v/>
      </c>
      <c r="B439" s="5">
        <f>IF(A439="","",TEXT(A439,"yyyy-mm-dd"))</f>
        <v/>
      </c>
      <c r="C439" s="5">
        <f>IF(A439="","",TEXT(A439,"ddd"))</f>
        <v/>
      </c>
      <c r="D439" s="5">
        <f>IF(A439="","",TEXT(A439,"yyyy-mm"))</f>
        <v/>
      </c>
      <c r="E439" s="5">
        <f>IF(A439="","",IF(A439&lt;Eingabe!$B$5,"",INT((A439-Eingabe!$B$5)/(Eingabe!$B$6*7))+1))</f>
        <v/>
      </c>
      <c r="F439" s="8">
        <f>IF(A439="","",SUMPRODUCT((Eingabe!$B$16:$B$165&lt;&gt;"")*(Eingabe!$J$16:$J$165)*--(A439&gt;=Eingabe!$G$16:$G$165)*--(A439&lt;=Eingabe!$H$16:$H$165)*--(WEEKDAY(A439,2)&lt;=5)))</f>
        <v/>
      </c>
      <c r="G439" s="8">
        <f>IF(A439="","",SUM($F$2:F439))</f>
        <v/>
      </c>
      <c r="H439" s="8">
        <f>IF(A439="","",Eingabe!$B$7-G439)</f>
        <v/>
      </c>
      <c r="I439" s="8">
        <f>IF(A439="","",Eingabe!$B$8-SUMIFS($F$2:F439,$D$2:D439,D439))</f>
        <v/>
      </c>
      <c r="J439" s="8">
        <f>IF(A439="","",IF(E439="",1E+99,IFERROR(VLOOKUP(E439,Eingabe!$D$5:$E$44,2,FALSE),Eingabe!$B$9)))</f>
        <v/>
      </c>
      <c r="K439" s="8">
        <f>IF(A439="","",IF(E439="",1E+99,J439-SUMIFS($F$2:F439,$E$2:E439,E439)))</f>
        <v/>
      </c>
      <c r="L439" s="5">
        <f>IF(A439="","",IF(OR(H439&lt;0,I439&lt;0,K439&lt;0),"UNMOEGLICH","OK"))</f>
        <v/>
      </c>
    </row>
    <row r="440">
      <c r="A440" s="7">
        <f>IF(ROW()-1&lt;=Eingabe!$B$4-Eingabe!$B$3+1,Eingabe!$B$3+ROW()-2,"")</f>
        <v/>
      </c>
      <c r="B440" s="5">
        <f>IF(A440="","",TEXT(A440,"yyyy-mm-dd"))</f>
        <v/>
      </c>
      <c r="C440" s="5">
        <f>IF(A440="","",TEXT(A440,"ddd"))</f>
        <v/>
      </c>
      <c r="D440" s="5">
        <f>IF(A440="","",TEXT(A440,"yyyy-mm"))</f>
        <v/>
      </c>
      <c r="E440" s="5">
        <f>IF(A440="","",IF(A440&lt;Eingabe!$B$5,"",INT((A440-Eingabe!$B$5)/(Eingabe!$B$6*7))+1))</f>
        <v/>
      </c>
      <c r="F440" s="8">
        <f>IF(A440="","",SUMPRODUCT((Eingabe!$B$16:$B$165&lt;&gt;"")*(Eingabe!$J$16:$J$165)*--(A440&gt;=Eingabe!$G$16:$G$165)*--(A440&lt;=Eingabe!$H$16:$H$165)*--(WEEKDAY(A440,2)&lt;=5)))</f>
        <v/>
      </c>
      <c r="G440" s="8">
        <f>IF(A440="","",SUM($F$2:F440))</f>
        <v/>
      </c>
      <c r="H440" s="8">
        <f>IF(A440="","",Eingabe!$B$7-G440)</f>
        <v/>
      </c>
      <c r="I440" s="8">
        <f>IF(A440="","",Eingabe!$B$8-SUMIFS($F$2:F440,$D$2:D440,D440))</f>
        <v/>
      </c>
      <c r="J440" s="8">
        <f>IF(A440="","",IF(E440="",1E+99,IFERROR(VLOOKUP(E440,Eingabe!$D$5:$E$44,2,FALSE),Eingabe!$B$9)))</f>
        <v/>
      </c>
      <c r="K440" s="8">
        <f>IF(A440="","",IF(E440="",1E+99,J440-SUMIFS($F$2:F440,$E$2:E440,E440)))</f>
        <v/>
      </c>
      <c r="L440" s="5">
        <f>IF(A440="","",IF(OR(H440&lt;0,I440&lt;0,K440&lt;0),"UNMOEGLICH","OK"))</f>
        <v/>
      </c>
    </row>
    <row r="441">
      <c r="A441" s="7">
        <f>IF(ROW()-1&lt;=Eingabe!$B$4-Eingabe!$B$3+1,Eingabe!$B$3+ROW()-2,"")</f>
        <v/>
      </c>
      <c r="B441" s="5">
        <f>IF(A441="","",TEXT(A441,"yyyy-mm-dd"))</f>
        <v/>
      </c>
      <c r="C441" s="5">
        <f>IF(A441="","",TEXT(A441,"ddd"))</f>
        <v/>
      </c>
      <c r="D441" s="5">
        <f>IF(A441="","",TEXT(A441,"yyyy-mm"))</f>
        <v/>
      </c>
      <c r="E441" s="5">
        <f>IF(A441="","",IF(A441&lt;Eingabe!$B$5,"",INT((A441-Eingabe!$B$5)/(Eingabe!$B$6*7))+1))</f>
        <v/>
      </c>
      <c r="F441" s="8">
        <f>IF(A441="","",SUMPRODUCT((Eingabe!$B$16:$B$165&lt;&gt;"")*(Eingabe!$J$16:$J$165)*--(A441&gt;=Eingabe!$G$16:$G$165)*--(A441&lt;=Eingabe!$H$16:$H$165)*--(WEEKDAY(A441,2)&lt;=5)))</f>
        <v/>
      </c>
      <c r="G441" s="8">
        <f>IF(A441="","",SUM($F$2:F441))</f>
        <v/>
      </c>
      <c r="H441" s="8">
        <f>IF(A441="","",Eingabe!$B$7-G441)</f>
        <v/>
      </c>
      <c r="I441" s="8">
        <f>IF(A441="","",Eingabe!$B$8-SUMIFS($F$2:F441,$D$2:D441,D441))</f>
        <v/>
      </c>
      <c r="J441" s="8">
        <f>IF(A441="","",IF(E441="",1E+99,IFERROR(VLOOKUP(E441,Eingabe!$D$5:$E$44,2,FALSE),Eingabe!$B$9)))</f>
        <v/>
      </c>
      <c r="K441" s="8">
        <f>IF(A441="","",IF(E441="",1E+99,J441-SUMIFS($F$2:F441,$E$2:E441,E441)))</f>
        <v/>
      </c>
      <c r="L441" s="5">
        <f>IF(A441="","",IF(OR(H441&lt;0,I441&lt;0,K441&lt;0),"UNMOEGLICH","OK"))</f>
        <v/>
      </c>
    </row>
    <row r="442">
      <c r="A442" s="7">
        <f>IF(ROW()-1&lt;=Eingabe!$B$4-Eingabe!$B$3+1,Eingabe!$B$3+ROW()-2,"")</f>
        <v/>
      </c>
      <c r="B442" s="5">
        <f>IF(A442="","",TEXT(A442,"yyyy-mm-dd"))</f>
        <v/>
      </c>
      <c r="C442" s="5">
        <f>IF(A442="","",TEXT(A442,"ddd"))</f>
        <v/>
      </c>
      <c r="D442" s="5">
        <f>IF(A442="","",TEXT(A442,"yyyy-mm"))</f>
        <v/>
      </c>
      <c r="E442" s="5">
        <f>IF(A442="","",IF(A442&lt;Eingabe!$B$5,"",INT((A442-Eingabe!$B$5)/(Eingabe!$B$6*7))+1))</f>
        <v/>
      </c>
      <c r="F442" s="8">
        <f>IF(A442="","",SUMPRODUCT((Eingabe!$B$16:$B$165&lt;&gt;"")*(Eingabe!$J$16:$J$165)*--(A442&gt;=Eingabe!$G$16:$G$165)*--(A442&lt;=Eingabe!$H$16:$H$165)*--(WEEKDAY(A442,2)&lt;=5)))</f>
        <v/>
      </c>
      <c r="G442" s="8">
        <f>IF(A442="","",SUM($F$2:F442))</f>
        <v/>
      </c>
      <c r="H442" s="8">
        <f>IF(A442="","",Eingabe!$B$7-G442)</f>
        <v/>
      </c>
      <c r="I442" s="8">
        <f>IF(A442="","",Eingabe!$B$8-SUMIFS($F$2:F442,$D$2:D442,D442))</f>
        <v/>
      </c>
      <c r="J442" s="8">
        <f>IF(A442="","",IF(E442="",1E+99,IFERROR(VLOOKUP(E442,Eingabe!$D$5:$E$44,2,FALSE),Eingabe!$B$9)))</f>
        <v/>
      </c>
      <c r="K442" s="8">
        <f>IF(A442="","",IF(E442="",1E+99,J442-SUMIFS($F$2:F442,$E$2:E442,E442)))</f>
        <v/>
      </c>
      <c r="L442" s="5">
        <f>IF(A442="","",IF(OR(H442&lt;0,I442&lt;0,K442&lt;0),"UNMOEGLICH","OK"))</f>
        <v/>
      </c>
    </row>
    <row r="443">
      <c r="A443" s="7">
        <f>IF(ROW()-1&lt;=Eingabe!$B$4-Eingabe!$B$3+1,Eingabe!$B$3+ROW()-2,"")</f>
        <v/>
      </c>
      <c r="B443" s="5">
        <f>IF(A443="","",TEXT(A443,"yyyy-mm-dd"))</f>
        <v/>
      </c>
      <c r="C443" s="5">
        <f>IF(A443="","",TEXT(A443,"ddd"))</f>
        <v/>
      </c>
      <c r="D443" s="5">
        <f>IF(A443="","",TEXT(A443,"yyyy-mm"))</f>
        <v/>
      </c>
      <c r="E443" s="5">
        <f>IF(A443="","",IF(A443&lt;Eingabe!$B$5,"",INT((A443-Eingabe!$B$5)/(Eingabe!$B$6*7))+1))</f>
        <v/>
      </c>
      <c r="F443" s="8">
        <f>IF(A443="","",SUMPRODUCT((Eingabe!$B$16:$B$165&lt;&gt;"")*(Eingabe!$J$16:$J$165)*--(A443&gt;=Eingabe!$G$16:$G$165)*--(A443&lt;=Eingabe!$H$16:$H$165)*--(WEEKDAY(A443,2)&lt;=5)))</f>
        <v/>
      </c>
      <c r="G443" s="8">
        <f>IF(A443="","",SUM($F$2:F443))</f>
        <v/>
      </c>
      <c r="H443" s="8">
        <f>IF(A443="","",Eingabe!$B$7-G443)</f>
        <v/>
      </c>
      <c r="I443" s="8">
        <f>IF(A443="","",Eingabe!$B$8-SUMIFS($F$2:F443,$D$2:D443,D443))</f>
        <v/>
      </c>
      <c r="J443" s="8">
        <f>IF(A443="","",IF(E443="",1E+99,IFERROR(VLOOKUP(E443,Eingabe!$D$5:$E$44,2,FALSE),Eingabe!$B$9)))</f>
        <v/>
      </c>
      <c r="K443" s="8">
        <f>IF(A443="","",IF(E443="",1E+99,J443-SUMIFS($F$2:F443,$E$2:E443,E443)))</f>
        <v/>
      </c>
      <c r="L443" s="5">
        <f>IF(A443="","",IF(OR(H443&lt;0,I443&lt;0,K443&lt;0),"UNMOEGLICH","OK"))</f>
        <v/>
      </c>
    </row>
    <row r="444">
      <c r="A444" s="7">
        <f>IF(ROW()-1&lt;=Eingabe!$B$4-Eingabe!$B$3+1,Eingabe!$B$3+ROW()-2,"")</f>
        <v/>
      </c>
      <c r="B444" s="5">
        <f>IF(A444="","",TEXT(A444,"yyyy-mm-dd"))</f>
        <v/>
      </c>
      <c r="C444" s="5">
        <f>IF(A444="","",TEXT(A444,"ddd"))</f>
        <v/>
      </c>
      <c r="D444" s="5">
        <f>IF(A444="","",TEXT(A444,"yyyy-mm"))</f>
        <v/>
      </c>
      <c r="E444" s="5">
        <f>IF(A444="","",IF(A444&lt;Eingabe!$B$5,"",INT((A444-Eingabe!$B$5)/(Eingabe!$B$6*7))+1))</f>
        <v/>
      </c>
      <c r="F444" s="8">
        <f>IF(A444="","",SUMPRODUCT((Eingabe!$B$16:$B$165&lt;&gt;"")*(Eingabe!$J$16:$J$165)*--(A444&gt;=Eingabe!$G$16:$G$165)*--(A444&lt;=Eingabe!$H$16:$H$165)*--(WEEKDAY(A444,2)&lt;=5)))</f>
        <v/>
      </c>
      <c r="G444" s="8">
        <f>IF(A444="","",SUM($F$2:F444))</f>
        <v/>
      </c>
      <c r="H444" s="8">
        <f>IF(A444="","",Eingabe!$B$7-G444)</f>
        <v/>
      </c>
      <c r="I444" s="8">
        <f>IF(A444="","",Eingabe!$B$8-SUMIFS($F$2:F444,$D$2:D444,D444))</f>
        <v/>
      </c>
      <c r="J444" s="8">
        <f>IF(A444="","",IF(E444="",1E+99,IFERROR(VLOOKUP(E444,Eingabe!$D$5:$E$44,2,FALSE),Eingabe!$B$9)))</f>
        <v/>
      </c>
      <c r="K444" s="8">
        <f>IF(A444="","",IF(E444="",1E+99,J444-SUMIFS($F$2:F444,$E$2:E444,E444)))</f>
        <v/>
      </c>
      <c r="L444" s="5">
        <f>IF(A444="","",IF(OR(H444&lt;0,I444&lt;0,K444&lt;0),"UNMOEGLICH","OK"))</f>
        <v/>
      </c>
    </row>
    <row r="445">
      <c r="A445" s="7">
        <f>IF(ROW()-1&lt;=Eingabe!$B$4-Eingabe!$B$3+1,Eingabe!$B$3+ROW()-2,"")</f>
        <v/>
      </c>
      <c r="B445" s="5">
        <f>IF(A445="","",TEXT(A445,"yyyy-mm-dd"))</f>
        <v/>
      </c>
      <c r="C445" s="5">
        <f>IF(A445="","",TEXT(A445,"ddd"))</f>
        <v/>
      </c>
      <c r="D445" s="5">
        <f>IF(A445="","",TEXT(A445,"yyyy-mm"))</f>
        <v/>
      </c>
      <c r="E445" s="5">
        <f>IF(A445="","",IF(A445&lt;Eingabe!$B$5,"",INT((A445-Eingabe!$B$5)/(Eingabe!$B$6*7))+1))</f>
        <v/>
      </c>
      <c r="F445" s="8">
        <f>IF(A445="","",SUMPRODUCT((Eingabe!$B$16:$B$165&lt;&gt;"")*(Eingabe!$J$16:$J$165)*--(A445&gt;=Eingabe!$G$16:$G$165)*--(A445&lt;=Eingabe!$H$16:$H$165)*--(WEEKDAY(A445,2)&lt;=5)))</f>
        <v/>
      </c>
      <c r="G445" s="8">
        <f>IF(A445="","",SUM($F$2:F445))</f>
        <v/>
      </c>
      <c r="H445" s="8">
        <f>IF(A445="","",Eingabe!$B$7-G445)</f>
        <v/>
      </c>
      <c r="I445" s="8">
        <f>IF(A445="","",Eingabe!$B$8-SUMIFS($F$2:F445,$D$2:D445,D445))</f>
        <v/>
      </c>
      <c r="J445" s="8">
        <f>IF(A445="","",IF(E445="",1E+99,IFERROR(VLOOKUP(E445,Eingabe!$D$5:$E$44,2,FALSE),Eingabe!$B$9)))</f>
        <v/>
      </c>
      <c r="K445" s="8">
        <f>IF(A445="","",IF(E445="",1E+99,J445-SUMIFS($F$2:F445,$E$2:E445,E445)))</f>
        <v/>
      </c>
      <c r="L445" s="5">
        <f>IF(A445="","",IF(OR(H445&lt;0,I445&lt;0,K445&lt;0),"UNMOEGLICH","OK"))</f>
        <v/>
      </c>
    </row>
    <row r="446">
      <c r="A446" s="7">
        <f>IF(ROW()-1&lt;=Eingabe!$B$4-Eingabe!$B$3+1,Eingabe!$B$3+ROW()-2,"")</f>
        <v/>
      </c>
      <c r="B446" s="5">
        <f>IF(A446="","",TEXT(A446,"yyyy-mm-dd"))</f>
        <v/>
      </c>
      <c r="C446" s="5">
        <f>IF(A446="","",TEXT(A446,"ddd"))</f>
        <v/>
      </c>
      <c r="D446" s="5">
        <f>IF(A446="","",TEXT(A446,"yyyy-mm"))</f>
        <v/>
      </c>
      <c r="E446" s="5">
        <f>IF(A446="","",IF(A446&lt;Eingabe!$B$5,"",INT((A446-Eingabe!$B$5)/(Eingabe!$B$6*7))+1))</f>
        <v/>
      </c>
      <c r="F446" s="8">
        <f>IF(A446="","",SUMPRODUCT((Eingabe!$B$16:$B$165&lt;&gt;"")*(Eingabe!$J$16:$J$165)*--(A446&gt;=Eingabe!$G$16:$G$165)*--(A446&lt;=Eingabe!$H$16:$H$165)*--(WEEKDAY(A446,2)&lt;=5)))</f>
        <v/>
      </c>
      <c r="G446" s="8">
        <f>IF(A446="","",SUM($F$2:F446))</f>
        <v/>
      </c>
      <c r="H446" s="8">
        <f>IF(A446="","",Eingabe!$B$7-G446)</f>
        <v/>
      </c>
      <c r="I446" s="8">
        <f>IF(A446="","",Eingabe!$B$8-SUMIFS($F$2:F446,$D$2:D446,D446))</f>
        <v/>
      </c>
      <c r="J446" s="8">
        <f>IF(A446="","",IF(E446="",1E+99,IFERROR(VLOOKUP(E446,Eingabe!$D$5:$E$44,2,FALSE),Eingabe!$B$9)))</f>
        <v/>
      </c>
      <c r="K446" s="8">
        <f>IF(A446="","",IF(E446="",1E+99,J446-SUMIFS($F$2:F446,$E$2:E446,E446)))</f>
        <v/>
      </c>
      <c r="L446" s="5">
        <f>IF(A446="","",IF(OR(H446&lt;0,I446&lt;0,K446&lt;0),"UNMOEGLICH","OK"))</f>
        <v/>
      </c>
    </row>
    <row r="447">
      <c r="A447" s="7">
        <f>IF(ROW()-1&lt;=Eingabe!$B$4-Eingabe!$B$3+1,Eingabe!$B$3+ROW()-2,"")</f>
        <v/>
      </c>
      <c r="B447" s="5">
        <f>IF(A447="","",TEXT(A447,"yyyy-mm-dd"))</f>
        <v/>
      </c>
      <c r="C447" s="5">
        <f>IF(A447="","",TEXT(A447,"ddd"))</f>
        <v/>
      </c>
      <c r="D447" s="5">
        <f>IF(A447="","",TEXT(A447,"yyyy-mm"))</f>
        <v/>
      </c>
      <c r="E447" s="5">
        <f>IF(A447="","",IF(A447&lt;Eingabe!$B$5,"",INT((A447-Eingabe!$B$5)/(Eingabe!$B$6*7))+1))</f>
        <v/>
      </c>
      <c r="F447" s="8">
        <f>IF(A447="","",SUMPRODUCT((Eingabe!$B$16:$B$165&lt;&gt;"")*(Eingabe!$J$16:$J$165)*--(A447&gt;=Eingabe!$G$16:$G$165)*--(A447&lt;=Eingabe!$H$16:$H$165)*--(WEEKDAY(A447,2)&lt;=5)))</f>
        <v/>
      </c>
      <c r="G447" s="8">
        <f>IF(A447="","",SUM($F$2:F447))</f>
        <v/>
      </c>
      <c r="H447" s="8">
        <f>IF(A447="","",Eingabe!$B$7-G447)</f>
        <v/>
      </c>
      <c r="I447" s="8">
        <f>IF(A447="","",Eingabe!$B$8-SUMIFS($F$2:F447,$D$2:D447,D447))</f>
        <v/>
      </c>
      <c r="J447" s="8">
        <f>IF(A447="","",IF(E447="",1E+99,IFERROR(VLOOKUP(E447,Eingabe!$D$5:$E$44,2,FALSE),Eingabe!$B$9)))</f>
        <v/>
      </c>
      <c r="K447" s="8">
        <f>IF(A447="","",IF(E447="",1E+99,J447-SUMIFS($F$2:F447,$E$2:E447,E447)))</f>
        <v/>
      </c>
      <c r="L447" s="5">
        <f>IF(A447="","",IF(OR(H447&lt;0,I447&lt;0,K447&lt;0),"UNMOEGLICH","OK"))</f>
        <v/>
      </c>
    </row>
    <row r="448">
      <c r="A448" s="7">
        <f>IF(ROW()-1&lt;=Eingabe!$B$4-Eingabe!$B$3+1,Eingabe!$B$3+ROW()-2,"")</f>
        <v/>
      </c>
      <c r="B448" s="5">
        <f>IF(A448="","",TEXT(A448,"yyyy-mm-dd"))</f>
        <v/>
      </c>
      <c r="C448" s="5">
        <f>IF(A448="","",TEXT(A448,"ddd"))</f>
        <v/>
      </c>
      <c r="D448" s="5">
        <f>IF(A448="","",TEXT(A448,"yyyy-mm"))</f>
        <v/>
      </c>
      <c r="E448" s="5">
        <f>IF(A448="","",IF(A448&lt;Eingabe!$B$5,"",INT((A448-Eingabe!$B$5)/(Eingabe!$B$6*7))+1))</f>
        <v/>
      </c>
      <c r="F448" s="8">
        <f>IF(A448="","",SUMPRODUCT((Eingabe!$B$16:$B$165&lt;&gt;"")*(Eingabe!$J$16:$J$165)*--(A448&gt;=Eingabe!$G$16:$G$165)*--(A448&lt;=Eingabe!$H$16:$H$165)*--(WEEKDAY(A448,2)&lt;=5)))</f>
        <v/>
      </c>
      <c r="G448" s="8">
        <f>IF(A448="","",SUM($F$2:F448))</f>
        <v/>
      </c>
      <c r="H448" s="8">
        <f>IF(A448="","",Eingabe!$B$7-G448)</f>
        <v/>
      </c>
      <c r="I448" s="8">
        <f>IF(A448="","",Eingabe!$B$8-SUMIFS($F$2:F448,$D$2:D448,D448))</f>
        <v/>
      </c>
      <c r="J448" s="8">
        <f>IF(A448="","",IF(E448="",1E+99,IFERROR(VLOOKUP(E448,Eingabe!$D$5:$E$44,2,FALSE),Eingabe!$B$9)))</f>
        <v/>
      </c>
      <c r="K448" s="8">
        <f>IF(A448="","",IF(E448="",1E+99,J448-SUMIFS($F$2:F448,$E$2:E448,E448)))</f>
        <v/>
      </c>
      <c r="L448" s="5">
        <f>IF(A448="","",IF(OR(H448&lt;0,I448&lt;0,K448&lt;0),"UNMOEGLICH","OK"))</f>
        <v/>
      </c>
    </row>
    <row r="449">
      <c r="A449" s="7">
        <f>IF(ROW()-1&lt;=Eingabe!$B$4-Eingabe!$B$3+1,Eingabe!$B$3+ROW()-2,"")</f>
        <v/>
      </c>
      <c r="B449" s="5">
        <f>IF(A449="","",TEXT(A449,"yyyy-mm-dd"))</f>
        <v/>
      </c>
      <c r="C449" s="5">
        <f>IF(A449="","",TEXT(A449,"ddd"))</f>
        <v/>
      </c>
      <c r="D449" s="5">
        <f>IF(A449="","",TEXT(A449,"yyyy-mm"))</f>
        <v/>
      </c>
      <c r="E449" s="5">
        <f>IF(A449="","",IF(A449&lt;Eingabe!$B$5,"",INT((A449-Eingabe!$B$5)/(Eingabe!$B$6*7))+1))</f>
        <v/>
      </c>
      <c r="F449" s="8">
        <f>IF(A449="","",SUMPRODUCT((Eingabe!$B$16:$B$165&lt;&gt;"")*(Eingabe!$J$16:$J$165)*--(A449&gt;=Eingabe!$G$16:$G$165)*--(A449&lt;=Eingabe!$H$16:$H$165)*--(WEEKDAY(A449,2)&lt;=5)))</f>
        <v/>
      </c>
      <c r="G449" s="8">
        <f>IF(A449="","",SUM($F$2:F449))</f>
        <v/>
      </c>
      <c r="H449" s="8">
        <f>IF(A449="","",Eingabe!$B$7-G449)</f>
        <v/>
      </c>
      <c r="I449" s="8">
        <f>IF(A449="","",Eingabe!$B$8-SUMIFS($F$2:F449,$D$2:D449,D449))</f>
        <v/>
      </c>
      <c r="J449" s="8">
        <f>IF(A449="","",IF(E449="",1E+99,IFERROR(VLOOKUP(E449,Eingabe!$D$5:$E$44,2,FALSE),Eingabe!$B$9)))</f>
        <v/>
      </c>
      <c r="K449" s="8">
        <f>IF(A449="","",IF(E449="",1E+99,J449-SUMIFS($F$2:F449,$E$2:E449,E449)))</f>
        <v/>
      </c>
      <c r="L449" s="5">
        <f>IF(A449="","",IF(OR(H449&lt;0,I449&lt;0,K449&lt;0),"UNMOEGLICH","OK"))</f>
        <v/>
      </c>
    </row>
    <row r="450">
      <c r="A450" s="7">
        <f>IF(ROW()-1&lt;=Eingabe!$B$4-Eingabe!$B$3+1,Eingabe!$B$3+ROW()-2,"")</f>
        <v/>
      </c>
      <c r="B450" s="5">
        <f>IF(A450="","",TEXT(A450,"yyyy-mm-dd"))</f>
        <v/>
      </c>
      <c r="C450" s="5">
        <f>IF(A450="","",TEXT(A450,"ddd"))</f>
        <v/>
      </c>
      <c r="D450" s="5">
        <f>IF(A450="","",TEXT(A450,"yyyy-mm"))</f>
        <v/>
      </c>
      <c r="E450" s="5">
        <f>IF(A450="","",IF(A450&lt;Eingabe!$B$5,"",INT((A450-Eingabe!$B$5)/(Eingabe!$B$6*7))+1))</f>
        <v/>
      </c>
      <c r="F450" s="8">
        <f>IF(A450="","",SUMPRODUCT((Eingabe!$B$16:$B$165&lt;&gt;"")*(Eingabe!$J$16:$J$165)*--(A450&gt;=Eingabe!$G$16:$G$165)*--(A450&lt;=Eingabe!$H$16:$H$165)*--(WEEKDAY(A450,2)&lt;=5)))</f>
        <v/>
      </c>
      <c r="G450" s="8">
        <f>IF(A450="","",SUM($F$2:F450))</f>
        <v/>
      </c>
      <c r="H450" s="8">
        <f>IF(A450="","",Eingabe!$B$7-G450)</f>
        <v/>
      </c>
      <c r="I450" s="8">
        <f>IF(A450="","",Eingabe!$B$8-SUMIFS($F$2:F450,$D$2:D450,D450))</f>
        <v/>
      </c>
      <c r="J450" s="8">
        <f>IF(A450="","",IF(E450="",1E+99,IFERROR(VLOOKUP(E450,Eingabe!$D$5:$E$44,2,FALSE),Eingabe!$B$9)))</f>
        <v/>
      </c>
      <c r="K450" s="8">
        <f>IF(A450="","",IF(E450="",1E+99,J450-SUMIFS($F$2:F450,$E$2:E450,E450)))</f>
        <v/>
      </c>
      <c r="L450" s="5">
        <f>IF(A450="","",IF(OR(H450&lt;0,I450&lt;0,K450&lt;0),"UNMOEGLICH","OK"))</f>
        <v/>
      </c>
    </row>
    <row r="451">
      <c r="A451" s="7">
        <f>IF(ROW()-1&lt;=Eingabe!$B$4-Eingabe!$B$3+1,Eingabe!$B$3+ROW()-2,"")</f>
        <v/>
      </c>
      <c r="B451" s="5">
        <f>IF(A451="","",TEXT(A451,"yyyy-mm-dd"))</f>
        <v/>
      </c>
      <c r="C451" s="5">
        <f>IF(A451="","",TEXT(A451,"ddd"))</f>
        <v/>
      </c>
      <c r="D451" s="5">
        <f>IF(A451="","",TEXT(A451,"yyyy-mm"))</f>
        <v/>
      </c>
      <c r="E451" s="5">
        <f>IF(A451="","",IF(A451&lt;Eingabe!$B$5,"",INT((A451-Eingabe!$B$5)/(Eingabe!$B$6*7))+1))</f>
        <v/>
      </c>
      <c r="F451" s="8">
        <f>IF(A451="","",SUMPRODUCT((Eingabe!$B$16:$B$165&lt;&gt;"")*(Eingabe!$J$16:$J$165)*--(A451&gt;=Eingabe!$G$16:$G$165)*--(A451&lt;=Eingabe!$H$16:$H$165)*--(WEEKDAY(A451,2)&lt;=5)))</f>
        <v/>
      </c>
      <c r="G451" s="8">
        <f>IF(A451="","",SUM($F$2:F451))</f>
        <v/>
      </c>
      <c r="H451" s="8">
        <f>IF(A451="","",Eingabe!$B$7-G451)</f>
        <v/>
      </c>
      <c r="I451" s="8">
        <f>IF(A451="","",Eingabe!$B$8-SUMIFS($F$2:F451,$D$2:D451,D451))</f>
        <v/>
      </c>
      <c r="J451" s="8">
        <f>IF(A451="","",IF(E451="",1E+99,IFERROR(VLOOKUP(E451,Eingabe!$D$5:$E$44,2,FALSE),Eingabe!$B$9)))</f>
        <v/>
      </c>
      <c r="K451" s="8">
        <f>IF(A451="","",IF(E451="",1E+99,J451-SUMIFS($F$2:F451,$E$2:E451,E451)))</f>
        <v/>
      </c>
      <c r="L451" s="5">
        <f>IF(A451="","",IF(OR(H451&lt;0,I451&lt;0,K451&lt;0),"UNMOEGLICH","OK"))</f>
        <v/>
      </c>
    </row>
    <row r="452">
      <c r="A452" s="7">
        <f>IF(ROW()-1&lt;=Eingabe!$B$4-Eingabe!$B$3+1,Eingabe!$B$3+ROW()-2,"")</f>
        <v/>
      </c>
      <c r="B452" s="5">
        <f>IF(A452="","",TEXT(A452,"yyyy-mm-dd"))</f>
        <v/>
      </c>
      <c r="C452" s="5">
        <f>IF(A452="","",TEXT(A452,"ddd"))</f>
        <v/>
      </c>
      <c r="D452" s="5">
        <f>IF(A452="","",TEXT(A452,"yyyy-mm"))</f>
        <v/>
      </c>
      <c r="E452" s="5">
        <f>IF(A452="","",IF(A452&lt;Eingabe!$B$5,"",INT((A452-Eingabe!$B$5)/(Eingabe!$B$6*7))+1))</f>
        <v/>
      </c>
      <c r="F452" s="8">
        <f>IF(A452="","",SUMPRODUCT((Eingabe!$B$16:$B$165&lt;&gt;"")*(Eingabe!$J$16:$J$165)*--(A452&gt;=Eingabe!$G$16:$G$165)*--(A452&lt;=Eingabe!$H$16:$H$165)*--(WEEKDAY(A452,2)&lt;=5)))</f>
        <v/>
      </c>
      <c r="G452" s="8">
        <f>IF(A452="","",SUM($F$2:F452))</f>
        <v/>
      </c>
      <c r="H452" s="8">
        <f>IF(A452="","",Eingabe!$B$7-G452)</f>
        <v/>
      </c>
      <c r="I452" s="8">
        <f>IF(A452="","",Eingabe!$B$8-SUMIFS($F$2:F452,$D$2:D452,D452))</f>
        <v/>
      </c>
      <c r="J452" s="8">
        <f>IF(A452="","",IF(E452="",1E+99,IFERROR(VLOOKUP(E452,Eingabe!$D$5:$E$44,2,FALSE),Eingabe!$B$9)))</f>
        <v/>
      </c>
      <c r="K452" s="8">
        <f>IF(A452="","",IF(E452="",1E+99,J452-SUMIFS($F$2:F452,$E$2:E452,E452)))</f>
        <v/>
      </c>
      <c r="L452" s="5">
        <f>IF(A452="","",IF(OR(H452&lt;0,I452&lt;0,K452&lt;0),"UNMOEGLICH","OK"))</f>
        <v/>
      </c>
    </row>
    <row r="453">
      <c r="A453" s="7">
        <f>IF(ROW()-1&lt;=Eingabe!$B$4-Eingabe!$B$3+1,Eingabe!$B$3+ROW()-2,"")</f>
        <v/>
      </c>
      <c r="B453" s="5">
        <f>IF(A453="","",TEXT(A453,"yyyy-mm-dd"))</f>
        <v/>
      </c>
      <c r="C453" s="5">
        <f>IF(A453="","",TEXT(A453,"ddd"))</f>
        <v/>
      </c>
      <c r="D453" s="5">
        <f>IF(A453="","",TEXT(A453,"yyyy-mm"))</f>
        <v/>
      </c>
      <c r="E453" s="5">
        <f>IF(A453="","",IF(A453&lt;Eingabe!$B$5,"",INT((A453-Eingabe!$B$5)/(Eingabe!$B$6*7))+1))</f>
        <v/>
      </c>
      <c r="F453" s="8">
        <f>IF(A453="","",SUMPRODUCT((Eingabe!$B$16:$B$165&lt;&gt;"")*(Eingabe!$J$16:$J$165)*--(A453&gt;=Eingabe!$G$16:$G$165)*--(A453&lt;=Eingabe!$H$16:$H$165)*--(WEEKDAY(A453,2)&lt;=5)))</f>
        <v/>
      </c>
      <c r="G453" s="8">
        <f>IF(A453="","",SUM($F$2:F453))</f>
        <v/>
      </c>
      <c r="H453" s="8">
        <f>IF(A453="","",Eingabe!$B$7-G453)</f>
        <v/>
      </c>
      <c r="I453" s="8">
        <f>IF(A453="","",Eingabe!$B$8-SUMIFS($F$2:F453,$D$2:D453,D453))</f>
        <v/>
      </c>
      <c r="J453" s="8">
        <f>IF(A453="","",IF(E453="",1E+99,IFERROR(VLOOKUP(E453,Eingabe!$D$5:$E$44,2,FALSE),Eingabe!$B$9)))</f>
        <v/>
      </c>
      <c r="K453" s="8">
        <f>IF(A453="","",IF(E453="",1E+99,J453-SUMIFS($F$2:F453,$E$2:E453,E453)))</f>
        <v/>
      </c>
      <c r="L453" s="5">
        <f>IF(A453="","",IF(OR(H453&lt;0,I453&lt;0,K453&lt;0),"UNMOEGLICH","OK"))</f>
        <v/>
      </c>
    </row>
    <row r="454">
      <c r="A454" s="7">
        <f>IF(ROW()-1&lt;=Eingabe!$B$4-Eingabe!$B$3+1,Eingabe!$B$3+ROW()-2,"")</f>
        <v/>
      </c>
      <c r="B454" s="5">
        <f>IF(A454="","",TEXT(A454,"yyyy-mm-dd"))</f>
        <v/>
      </c>
      <c r="C454" s="5">
        <f>IF(A454="","",TEXT(A454,"ddd"))</f>
        <v/>
      </c>
      <c r="D454" s="5">
        <f>IF(A454="","",TEXT(A454,"yyyy-mm"))</f>
        <v/>
      </c>
      <c r="E454" s="5">
        <f>IF(A454="","",IF(A454&lt;Eingabe!$B$5,"",INT((A454-Eingabe!$B$5)/(Eingabe!$B$6*7))+1))</f>
        <v/>
      </c>
      <c r="F454" s="8">
        <f>IF(A454="","",SUMPRODUCT((Eingabe!$B$16:$B$165&lt;&gt;"")*(Eingabe!$J$16:$J$165)*--(A454&gt;=Eingabe!$G$16:$G$165)*--(A454&lt;=Eingabe!$H$16:$H$165)*--(WEEKDAY(A454,2)&lt;=5)))</f>
        <v/>
      </c>
      <c r="G454" s="8">
        <f>IF(A454="","",SUM($F$2:F454))</f>
        <v/>
      </c>
      <c r="H454" s="8">
        <f>IF(A454="","",Eingabe!$B$7-G454)</f>
        <v/>
      </c>
      <c r="I454" s="8">
        <f>IF(A454="","",Eingabe!$B$8-SUMIFS($F$2:F454,$D$2:D454,D454))</f>
        <v/>
      </c>
      <c r="J454" s="8">
        <f>IF(A454="","",IF(E454="",1E+99,IFERROR(VLOOKUP(E454,Eingabe!$D$5:$E$44,2,FALSE),Eingabe!$B$9)))</f>
        <v/>
      </c>
      <c r="K454" s="8">
        <f>IF(A454="","",IF(E454="",1E+99,J454-SUMIFS($F$2:F454,$E$2:E454,E454)))</f>
        <v/>
      </c>
      <c r="L454" s="5">
        <f>IF(A454="","",IF(OR(H454&lt;0,I454&lt;0,K454&lt;0),"UNMOEGLICH","OK"))</f>
        <v/>
      </c>
    </row>
    <row r="455">
      <c r="A455" s="7">
        <f>IF(ROW()-1&lt;=Eingabe!$B$4-Eingabe!$B$3+1,Eingabe!$B$3+ROW()-2,"")</f>
        <v/>
      </c>
      <c r="B455" s="5">
        <f>IF(A455="","",TEXT(A455,"yyyy-mm-dd"))</f>
        <v/>
      </c>
      <c r="C455" s="5">
        <f>IF(A455="","",TEXT(A455,"ddd"))</f>
        <v/>
      </c>
      <c r="D455" s="5">
        <f>IF(A455="","",TEXT(A455,"yyyy-mm"))</f>
        <v/>
      </c>
      <c r="E455" s="5">
        <f>IF(A455="","",IF(A455&lt;Eingabe!$B$5,"",INT((A455-Eingabe!$B$5)/(Eingabe!$B$6*7))+1))</f>
        <v/>
      </c>
      <c r="F455" s="8">
        <f>IF(A455="","",SUMPRODUCT((Eingabe!$B$16:$B$165&lt;&gt;"")*(Eingabe!$J$16:$J$165)*--(A455&gt;=Eingabe!$G$16:$G$165)*--(A455&lt;=Eingabe!$H$16:$H$165)*--(WEEKDAY(A455,2)&lt;=5)))</f>
        <v/>
      </c>
      <c r="G455" s="8">
        <f>IF(A455="","",SUM($F$2:F455))</f>
        <v/>
      </c>
      <c r="H455" s="8">
        <f>IF(A455="","",Eingabe!$B$7-G455)</f>
        <v/>
      </c>
      <c r="I455" s="8">
        <f>IF(A455="","",Eingabe!$B$8-SUMIFS($F$2:F455,$D$2:D455,D455))</f>
        <v/>
      </c>
      <c r="J455" s="8">
        <f>IF(A455="","",IF(E455="",1E+99,IFERROR(VLOOKUP(E455,Eingabe!$D$5:$E$44,2,FALSE),Eingabe!$B$9)))</f>
        <v/>
      </c>
      <c r="K455" s="8">
        <f>IF(A455="","",IF(E455="",1E+99,J455-SUMIFS($F$2:F455,$E$2:E455,E455)))</f>
        <v/>
      </c>
      <c r="L455" s="5">
        <f>IF(A455="","",IF(OR(H455&lt;0,I455&lt;0,K455&lt;0),"UNMOEGLICH","OK"))</f>
        <v/>
      </c>
    </row>
    <row r="456">
      <c r="A456" s="7">
        <f>IF(ROW()-1&lt;=Eingabe!$B$4-Eingabe!$B$3+1,Eingabe!$B$3+ROW()-2,"")</f>
        <v/>
      </c>
      <c r="B456" s="5">
        <f>IF(A456="","",TEXT(A456,"yyyy-mm-dd"))</f>
        <v/>
      </c>
      <c r="C456" s="5">
        <f>IF(A456="","",TEXT(A456,"ddd"))</f>
        <v/>
      </c>
      <c r="D456" s="5">
        <f>IF(A456="","",TEXT(A456,"yyyy-mm"))</f>
        <v/>
      </c>
      <c r="E456" s="5">
        <f>IF(A456="","",IF(A456&lt;Eingabe!$B$5,"",INT((A456-Eingabe!$B$5)/(Eingabe!$B$6*7))+1))</f>
        <v/>
      </c>
      <c r="F456" s="8">
        <f>IF(A456="","",SUMPRODUCT((Eingabe!$B$16:$B$165&lt;&gt;"")*(Eingabe!$J$16:$J$165)*--(A456&gt;=Eingabe!$G$16:$G$165)*--(A456&lt;=Eingabe!$H$16:$H$165)*--(WEEKDAY(A456,2)&lt;=5)))</f>
        <v/>
      </c>
      <c r="G456" s="8">
        <f>IF(A456="","",SUM($F$2:F456))</f>
        <v/>
      </c>
      <c r="H456" s="8">
        <f>IF(A456="","",Eingabe!$B$7-G456)</f>
        <v/>
      </c>
      <c r="I456" s="8">
        <f>IF(A456="","",Eingabe!$B$8-SUMIFS($F$2:F456,$D$2:D456,D456))</f>
        <v/>
      </c>
      <c r="J456" s="8">
        <f>IF(A456="","",IF(E456="",1E+99,IFERROR(VLOOKUP(E456,Eingabe!$D$5:$E$44,2,FALSE),Eingabe!$B$9)))</f>
        <v/>
      </c>
      <c r="K456" s="8">
        <f>IF(A456="","",IF(E456="",1E+99,J456-SUMIFS($F$2:F456,$E$2:E456,E456)))</f>
        <v/>
      </c>
      <c r="L456" s="5">
        <f>IF(A456="","",IF(OR(H456&lt;0,I456&lt;0,K456&lt;0),"UNMOEGLICH","OK"))</f>
        <v/>
      </c>
    </row>
    <row r="457">
      <c r="A457" s="7">
        <f>IF(ROW()-1&lt;=Eingabe!$B$4-Eingabe!$B$3+1,Eingabe!$B$3+ROW()-2,"")</f>
        <v/>
      </c>
      <c r="B457" s="5">
        <f>IF(A457="","",TEXT(A457,"yyyy-mm-dd"))</f>
        <v/>
      </c>
      <c r="C457" s="5">
        <f>IF(A457="","",TEXT(A457,"ddd"))</f>
        <v/>
      </c>
      <c r="D457" s="5">
        <f>IF(A457="","",TEXT(A457,"yyyy-mm"))</f>
        <v/>
      </c>
      <c r="E457" s="5">
        <f>IF(A457="","",IF(A457&lt;Eingabe!$B$5,"",INT((A457-Eingabe!$B$5)/(Eingabe!$B$6*7))+1))</f>
        <v/>
      </c>
      <c r="F457" s="8">
        <f>IF(A457="","",SUMPRODUCT((Eingabe!$B$16:$B$165&lt;&gt;"")*(Eingabe!$J$16:$J$165)*--(A457&gt;=Eingabe!$G$16:$G$165)*--(A457&lt;=Eingabe!$H$16:$H$165)*--(WEEKDAY(A457,2)&lt;=5)))</f>
        <v/>
      </c>
      <c r="G457" s="8">
        <f>IF(A457="","",SUM($F$2:F457))</f>
        <v/>
      </c>
      <c r="H457" s="8">
        <f>IF(A457="","",Eingabe!$B$7-G457)</f>
        <v/>
      </c>
      <c r="I457" s="8">
        <f>IF(A457="","",Eingabe!$B$8-SUMIFS($F$2:F457,$D$2:D457,D457))</f>
        <v/>
      </c>
      <c r="J457" s="8">
        <f>IF(A457="","",IF(E457="",1E+99,IFERROR(VLOOKUP(E457,Eingabe!$D$5:$E$44,2,FALSE),Eingabe!$B$9)))</f>
        <v/>
      </c>
      <c r="K457" s="8">
        <f>IF(A457="","",IF(E457="",1E+99,J457-SUMIFS($F$2:F457,$E$2:E457,E457)))</f>
        <v/>
      </c>
      <c r="L457" s="5">
        <f>IF(A457="","",IF(OR(H457&lt;0,I457&lt;0,K457&lt;0),"UNMOEGLICH","OK"))</f>
        <v/>
      </c>
    </row>
    <row r="458">
      <c r="A458" s="7">
        <f>IF(ROW()-1&lt;=Eingabe!$B$4-Eingabe!$B$3+1,Eingabe!$B$3+ROW()-2,"")</f>
        <v/>
      </c>
      <c r="B458" s="5">
        <f>IF(A458="","",TEXT(A458,"yyyy-mm-dd"))</f>
        <v/>
      </c>
      <c r="C458" s="5">
        <f>IF(A458="","",TEXT(A458,"ddd"))</f>
        <v/>
      </c>
      <c r="D458" s="5">
        <f>IF(A458="","",TEXT(A458,"yyyy-mm"))</f>
        <v/>
      </c>
      <c r="E458" s="5">
        <f>IF(A458="","",IF(A458&lt;Eingabe!$B$5,"",INT((A458-Eingabe!$B$5)/(Eingabe!$B$6*7))+1))</f>
        <v/>
      </c>
      <c r="F458" s="8">
        <f>IF(A458="","",SUMPRODUCT((Eingabe!$B$16:$B$165&lt;&gt;"")*(Eingabe!$J$16:$J$165)*--(A458&gt;=Eingabe!$G$16:$G$165)*--(A458&lt;=Eingabe!$H$16:$H$165)*--(WEEKDAY(A458,2)&lt;=5)))</f>
        <v/>
      </c>
      <c r="G458" s="8">
        <f>IF(A458="","",SUM($F$2:F458))</f>
        <v/>
      </c>
      <c r="H458" s="8">
        <f>IF(A458="","",Eingabe!$B$7-G458)</f>
        <v/>
      </c>
      <c r="I458" s="8">
        <f>IF(A458="","",Eingabe!$B$8-SUMIFS($F$2:F458,$D$2:D458,D458))</f>
        <v/>
      </c>
      <c r="J458" s="8">
        <f>IF(A458="","",IF(E458="",1E+99,IFERROR(VLOOKUP(E458,Eingabe!$D$5:$E$44,2,FALSE),Eingabe!$B$9)))</f>
        <v/>
      </c>
      <c r="K458" s="8">
        <f>IF(A458="","",IF(E458="",1E+99,J458-SUMIFS($F$2:F458,$E$2:E458,E458)))</f>
        <v/>
      </c>
      <c r="L458" s="5">
        <f>IF(A458="","",IF(OR(H458&lt;0,I458&lt;0,K458&lt;0),"UNMOEGLICH","OK"))</f>
        <v/>
      </c>
    </row>
    <row r="459">
      <c r="A459" s="7">
        <f>IF(ROW()-1&lt;=Eingabe!$B$4-Eingabe!$B$3+1,Eingabe!$B$3+ROW()-2,"")</f>
        <v/>
      </c>
      <c r="B459" s="5">
        <f>IF(A459="","",TEXT(A459,"yyyy-mm-dd"))</f>
        <v/>
      </c>
      <c r="C459" s="5">
        <f>IF(A459="","",TEXT(A459,"ddd"))</f>
        <v/>
      </c>
      <c r="D459" s="5">
        <f>IF(A459="","",TEXT(A459,"yyyy-mm"))</f>
        <v/>
      </c>
      <c r="E459" s="5">
        <f>IF(A459="","",IF(A459&lt;Eingabe!$B$5,"",INT((A459-Eingabe!$B$5)/(Eingabe!$B$6*7))+1))</f>
        <v/>
      </c>
      <c r="F459" s="8">
        <f>IF(A459="","",SUMPRODUCT((Eingabe!$B$16:$B$165&lt;&gt;"")*(Eingabe!$J$16:$J$165)*--(A459&gt;=Eingabe!$G$16:$G$165)*--(A459&lt;=Eingabe!$H$16:$H$165)*--(WEEKDAY(A459,2)&lt;=5)))</f>
        <v/>
      </c>
      <c r="G459" s="8">
        <f>IF(A459="","",SUM($F$2:F459))</f>
        <v/>
      </c>
      <c r="H459" s="8">
        <f>IF(A459="","",Eingabe!$B$7-G459)</f>
        <v/>
      </c>
      <c r="I459" s="8">
        <f>IF(A459="","",Eingabe!$B$8-SUMIFS($F$2:F459,$D$2:D459,D459))</f>
        <v/>
      </c>
      <c r="J459" s="8">
        <f>IF(A459="","",IF(E459="",1E+99,IFERROR(VLOOKUP(E459,Eingabe!$D$5:$E$44,2,FALSE),Eingabe!$B$9)))</f>
        <v/>
      </c>
      <c r="K459" s="8">
        <f>IF(A459="","",IF(E459="",1E+99,J459-SUMIFS($F$2:F459,$E$2:E459,E459)))</f>
        <v/>
      </c>
      <c r="L459" s="5">
        <f>IF(A459="","",IF(OR(H459&lt;0,I459&lt;0,K459&lt;0),"UNMOEGLICH","OK"))</f>
        <v/>
      </c>
    </row>
    <row r="460">
      <c r="A460" s="7">
        <f>IF(ROW()-1&lt;=Eingabe!$B$4-Eingabe!$B$3+1,Eingabe!$B$3+ROW()-2,"")</f>
        <v/>
      </c>
      <c r="B460" s="5">
        <f>IF(A460="","",TEXT(A460,"yyyy-mm-dd"))</f>
        <v/>
      </c>
      <c r="C460" s="5">
        <f>IF(A460="","",TEXT(A460,"ddd"))</f>
        <v/>
      </c>
      <c r="D460" s="5">
        <f>IF(A460="","",TEXT(A460,"yyyy-mm"))</f>
        <v/>
      </c>
      <c r="E460" s="5">
        <f>IF(A460="","",IF(A460&lt;Eingabe!$B$5,"",INT((A460-Eingabe!$B$5)/(Eingabe!$B$6*7))+1))</f>
        <v/>
      </c>
      <c r="F460" s="8">
        <f>IF(A460="","",SUMPRODUCT((Eingabe!$B$16:$B$165&lt;&gt;"")*(Eingabe!$J$16:$J$165)*--(A460&gt;=Eingabe!$G$16:$G$165)*--(A460&lt;=Eingabe!$H$16:$H$165)*--(WEEKDAY(A460,2)&lt;=5)))</f>
        <v/>
      </c>
      <c r="G460" s="8">
        <f>IF(A460="","",SUM($F$2:F460))</f>
        <v/>
      </c>
      <c r="H460" s="8">
        <f>IF(A460="","",Eingabe!$B$7-G460)</f>
        <v/>
      </c>
      <c r="I460" s="8">
        <f>IF(A460="","",Eingabe!$B$8-SUMIFS($F$2:F460,$D$2:D460,D460))</f>
        <v/>
      </c>
      <c r="J460" s="8">
        <f>IF(A460="","",IF(E460="",1E+99,IFERROR(VLOOKUP(E460,Eingabe!$D$5:$E$44,2,FALSE),Eingabe!$B$9)))</f>
        <v/>
      </c>
      <c r="K460" s="8">
        <f>IF(A460="","",IF(E460="",1E+99,J460-SUMIFS($F$2:F460,$E$2:E460,E460)))</f>
        <v/>
      </c>
      <c r="L460" s="5">
        <f>IF(A460="","",IF(OR(H460&lt;0,I460&lt;0,K460&lt;0),"UNMOEGLICH","OK"))</f>
        <v/>
      </c>
    </row>
    <row r="461">
      <c r="A461" s="7">
        <f>IF(ROW()-1&lt;=Eingabe!$B$4-Eingabe!$B$3+1,Eingabe!$B$3+ROW()-2,"")</f>
        <v/>
      </c>
      <c r="B461" s="5">
        <f>IF(A461="","",TEXT(A461,"yyyy-mm-dd"))</f>
        <v/>
      </c>
      <c r="C461" s="5">
        <f>IF(A461="","",TEXT(A461,"ddd"))</f>
        <v/>
      </c>
      <c r="D461" s="5">
        <f>IF(A461="","",TEXT(A461,"yyyy-mm"))</f>
        <v/>
      </c>
      <c r="E461" s="5">
        <f>IF(A461="","",IF(A461&lt;Eingabe!$B$5,"",INT((A461-Eingabe!$B$5)/(Eingabe!$B$6*7))+1))</f>
        <v/>
      </c>
      <c r="F461" s="8">
        <f>IF(A461="","",SUMPRODUCT((Eingabe!$B$16:$B$165&lt;&gt;"")*(Eingabe!$J$16:$J$165)*--(A461&gt;=Eingabe!$G$16:$G$165)*--(A461&lt;=Eingabe!$H$16:$H$165)*--(WEEKDAY(A461,2)&lt;=5)))</f>
        <v/>
      </c>
      <c r="G461" s="8">
        <f>IF(A461="","",SUM($F$2:F461))</f>
        <v/>
      </c>
      <c r="H461" s="8">
        <f>IF(A461="","",Eingabe!$B$7-G461)</f>
        <v/>
      </c>
      <c r="I461" s="8">
        <f>IF(A461="","",Eingabe!$B$8-SUMIFS($F$2:F461,$D$2:D461,D461))</f>
        <v/>
      </c>
      <c r="J461" s="8">
        <f>IF(A461="","",IF(E461="",1E+99,IFERROR(VLOOKUP(E461,Eingabe!$D$5:$E$44,2,FALSE),Eingabe!$B$9)))</f>
        <v/>
      </c>
      <c r="K461" s="8">
        <f>IF(A461="","",IF(E461="",1E+99,J461-SUMIFS($F$2:F461,$E$2:E461,E461)))</f>
        <v/>
      </c>
      <c r="L461" s="5">
        <f>IF(A461="","",IF(OR(H461&lt;0,I461&lt;0,K461&lt;0),"UNMOEGLICH","OK"))</f>
        <v/>
      </c>
    </row>
    <row r="462">
      <c r="A462" s="7">
        <f>IF(ROW()-1&lt;=Eingabe!$B$4-Eingabe!$B$3+1,Eingabe!$B$3+ROW()-2,"")</f>
        <v/>
      </c>
      <c r="B462" s="5">
        <f>IF(A462="","",TEXT(A462,"yyyy-mm-dd"))</f>
        <v/>
      </c>
      <c r="C462" s="5">
        <f>IF(A462="","",TEXT(A462,"ddd"))</f>
        <v/>
      </c>
      <c r="D462" s="5">
        <f>IF(A462="","",TEXT(A462,"yyyy-mm"))</f>
        <v/>
      </c>
      <c r="E462" s="5">
        <f>IF(A462="","",IF(A462&lt;Eingabe!$B$5,"",INT((A462-Eingabe!$B$5)/(Eingabe!$B$6*7))+1))</f>
        <v/>
      </c>
      <c r="F462" s="8">
        <f>IF(A462="","",SUMPRODUCT((Eingabe!$B$16:$B$165&lt;&gt;"")*(Eingabe!$J$16:$J$165)*--(A462&gt;=Eingabe!$G$16:$G$165)*--(A462&lt;=Eingabe!$H$16:$H$165)*--(WEEKDAY(A462,2)&lt;=5)))</f>
        <v/>
      </c>
      <c r="G462" s="8">
        <f>IF(A462="","",SUM($F$2:F462))</f>
        <v/>
      </c>
      <c r="H462" s="8">
        <f>IF(A462="","",Eingabe!$B$7-G462)</f>
        <v/>
      </c>
      <c r="I462" s="8">
        <f>IF(A462="","",Eingabe!$B$8-SUMIFS($F$2:F462,$D$2:D462,D462))</f>
        <v/>
      </c>
      <c r="J462" s="8">
        <f>IF(A462="","",IF(E462="",1E+99,IFERROR(VLOOKUP(E462,Eingabe!$D$5:$E$44,2,FALSE),Eingabe!$B$9)))</f>
        <v/>
      </c>
      <c r="K462" s="8">
        <f>IF(A462="","",IF(E462="",1E+99,J462-SUMIFS($F$2:F462,$E$2:E462,E462)))</f>
        <v/>
      </c>
      <c r="L462" s="5">
        <f>IF(A462="","",IF(OR(H462&lt;0,I462&lt;0,K462&lt;0),"UNMOEGLICH","OK"))</f>
        <v/>
      </c>
    </row>
    <row r="463">
      <c r="A463" s="7">
        <f>IF(ROW()-1&lt;=Eingabe!$B$4-Eingabe!$B$3+1,Eingabe!$B$3+ROW()-2,"")</f>
        <v/>
      </c>
      <c r="B463" s="5">
        <f>IF(A463="","",TEXT(A463,"yyyy-mm-dd"))</f>
        <v/>
      </c>
      <c r="C463" s="5">
        <f>IF(A463="","",TEXT(A463,"ddd"))</f>
        <v/>
      </c>
      <c r="D463" s="5">
        <f>IF(A463="","",TEXT(A463,"yyyy-mm"))</f>
        <v/>
      </c>
      <c r="E463" s="5">
        <f>IF(A463="","",IF(A463&lt;Eingabe!$B$5,"",INT((A463-Eingabe!$B$5)/(Eingabe!$B$6*7))+1))</f>
        <v/>
      </c>
      <c r="F463" s="8">
        <f>IF(A463="","",SUMPRODUCT((Eingabe!$B$16:$B$165&lt;&gt;"")*(Eingabe!$J$16:$J$165)*--(A463&gt;=Eingabe!$G$16:$G$165)*--(A463&lt;=Eingabe!$H$16:$H$165)*--(WEEKDAY(A463,2)&lt;=5)))</f>
        <v/>
      </c>
      <c r="G463" s="8">
        <f>IF(A463="","",SUM($F$2:F463))</f>
        <v/>
      </c>
      <c r="H463" s="8">
        <f>IF(A463="","",Eingabe!$B$7-G463)</f>
        <v/>
      </c>
      <c r="I463" s="8">
        <f>IF(A463="","",Eingabe!$B$8-SUMIFS($F$2:F463,$D$2:D463,D463))</f>
        <v/>
      </c>
      <c r="J463" s="8">
        <f>IF(A463="","",IF(E463="",1E+99,IFERROR(VLOOKUP(E463,Eingabe!$D$5:$E$44,2,FALSE),Eingabe!$B$9)))</f>
        <v/>
      </c>
      <c r="K463" s="8">
        <f>IF(A463="","",IF(E463="",1E+99,J463-SUMIFS($F$2:F463,$E$2:E463,E463)))</f>
        <v/>
      </c>
      <c r="L463" s="5">
        <f>IF(A463="","",IF(OR(H463&lt;0,I463&lt;0,K463&lt;0),"UNMOEGLICH","OK"))</f>
        <v/>
      </c>
    </row>
    <row r="464">
      <c r="A464" s="7">
        <f>IF(ROW()-1&lt;=Eingabe!$B$4-Eingabe!$B$3+1,Eingabe!$B$3+ROW()-2,"")</f>
        <v/>
      </c>
      <c r="B464" s="5">
        <f>IF(A464="","",TEXT(A464,"yyyy-mm-dd"))</f>
        <v/>
      </c>
      <c r="C464" s="5">
        <f>IF(A464="","",TEXT(A464,"ddd"))</f>
        <v/>
      </c>
      <c r="D464" s="5">
        <f>IF(A464="","",TEXT(A464,"yyyy-mm"))</f>
        <v/>
      </c>
      <c r="E464" s="5">
        <f>IF(A464="","",IF(A464&lt;Eingabe!$B$5,"",INT((A464-Eingabe!$B$5)/(Eingabe!$B$6*7))+1))</f>
        <v/>
      </c>
      <c r="F464" s="8">
        <f>IF(A464="","",SUMPRODUCT((Eingabe!$B$16:$B$165&lt;&gt;"")*(Eingabe!$J$16:$J$165)*--(A464&gt;=Eingabe!$G$16:$G$165)*--(A464&lt;=Eingabe!$H$16:$H$165)*--(WEEKDAY(A464,2)&lt;=5)))</f>
        <v/>
      </c>
      <c r="G464" s="8">
        <f>IF(A464="","",SUM($F$2:F464))</f>
        <v/>
      </c>
      <c r="H464" s="8">
        <f>IF(A464="","",Eingabe!$B$7-G464)</f>
        <v/>
      </c>
      <c r="I464" s="8">
        <f>IF(A464="","",Eingabe!$B$8-SUMIFS($F$2:F464,$D$2:D464,D464))</f>
        <v/>
      </c>
      <c r="J464" s="8">
        <f>IF(A464="","",IF(E464="",1E+99,IFERROR(VLOOKUP(E464,Eingabe!$D$5:$E$44,2,FALSE),Eingabe!$B$9)))</f>
        <v/>
      </c>
      <c r="K464" s="8">
        <f>IF(A464="","",IF(E464="",1E+99,J464-SUMIFS($F$2:F464,$E$2:E464,E464)))</f>
        <v/>
      </c>
      <c r="L464" s="5">
        <f>IF(A464="","",IF(OR(H464&lt;0,I464&lt;0,K464&lt;0),"UNMOEGLICH","OK"))</f>
        <v/>
      </c>
    </row>
    <row r="465">
      <c r="A465" s="7">
        <f>IF(ROW()-1&lt;=Eingabe!$B$4-Eingabe!$B$3+1,Eingabe!$B$3+ROW()-2,"")</f>
        <v/>
      </c>
      <c r="B465" s="5">
        <f>IF(A465="","",TEXT(A465,"yyyy-mm-dd"))</f>
        <v/>
      </c>
      <c r="C465" s="5">
        <f>IF(A465="","",TEXT(A465,"ddd"))</f>
        <v/>
      </c>
      <c r="D465" s="5">
        <f>IF(A465="","",TEXT(A465,"yyyy-mm"))</f>
        <v/>
      </c>
      <c r="E465" s="5">
        <f>IF(A465="","",IF(A465&lt;Eingabe!$B$5,"",INT((A465-Eingabe!$B$5)/(Eingabe!$B$6*7))+1))</f>
        <v/>
      </c>
      <c r="F465" s="8">
        <f>IF(A465="","",SUMPRODUCT((Eingabe!$B$16:$B$165&lt;&gt;"")*(Eingabe!$J$16:$J$165)*--(A465&gt;=Eingabe!$G$16:$G$165)*--(A465&lt;=Eingabe!$H$16:$H$165)*--(WEEKDAY(A465,2)&lt;=5)))</f>
        <v/>
      </c>
      <c r="G465" s="8">
        <f>IF(A465="","",SUM($F$2:F465))</f>
        <v/>
      </c>
      <c r="H465" s="8">
        <f>IF(A465="","",Eingabe!$B$7-G465)</f>
        <v/>
      </c>
      <c r="I465" s="8">
        <f>IF(A465="","",Eingabe!$B$8-SUMIFS($F$2:F465,$D$2:D465,D465))</f>
        <v/>
      </c>
      <c r="J465" s="8">
        <f>IF(A465="","",IF(E465="",1E+99,IFERROR(VLOOKUP(E465,Eingabe!$D$5:$E$44,2,FALSE),Eingabe!$B$9)))</f>
        <v/>
      </c>
      <c r="K465" s="8">
        <f>IF(A465="","",IF(E465="",1E+99,J465-SUMIFS($F$2:F465,$E$2:E465,E465)))</f>
        <v/>
      </c>
      <c r="L465" s="5">
        <f>IF(A465="","",IF(OR(H465&lt;0,I465&lt;0,K465&lt;0),"UNMOEGLICH","OK"))</f>
        <v/>
      </c>
    </row>
    <row r="466">
      <c r="A466" s="7">
        <f>IF(ROW()-1&lt;=Eingabe!$B$4-Eingabe!$B$3+1,Eingabe!$B$3+ROW()-2,"")</f>
        <v/>
      </c>
      <c r="B466" s="5">
        <f>IF(A466="","",TEXT(A466,"yyyy-mm-dd"))</f>
        <v/>
      </c>
      <c r="C466" s="5">
        <f>IF(A466="","",TEXT(A466,"ddd"))</f>
        <v/>
      </c>
      <c r="D466" s="5">
        <f>IF(A466="","",TEXT(A466,"yyyy-mm"))</f>
        <v/>
      </c>
      <c r="E466" s="5">
        <f>IF(A466="","",IF(A466&lt;Eingabe!$B$5,"",INT((A466-Eingabe!$B$5)/(Eingabe!$B$6*7))+1))</f>
        <v/>
      </c>
      <c r="F466" s="8">
        <f>IF(A466="","",SUMPRODUCT((Eingabe!$B$16:$B$165&lt;&gt;"")*(Eingabe!$J$16:$J$165)*--(A466&gt;=Eingabe!$G$16:$G$165)*--(A466&lt;=Eingabe!$H$16:$H$165)*--(WEEKDAY(A466,2)&lt;=5)))</f>
        <v/>
      </c>
      <c r="G466" s="8">
        <f>IF(A466="","",SUM($F$2:F466))</f>
        <v/>
      </c>
      <c r="H466" s="8">
        <f>IF(A466="","",Eingabe!$B$7-G466)</f>
        <v/>
      </c>
      <c r="I466" s="8">
        <f>IF(A466="","",Eingabe!$B$8-SUMIFS($F$2:F466,$D$2:D466,D466))</f>
        <v/>
      </c>
      <c r="J466" s="8">
        <f>IF(A466="","",IF(E466="",1E+99,IFERROR(VLOOKUP(E466,Eingabe!$D$5:$E$44,2,FALSE),Eingabe!$B$9)))</f>
        <v/>
      </c>
      <c r="K466" s="8">
        <f>IF(A466="","",IF(E466="",1E+99,J466-SUMIFS($F$2:F466,$E$2:E466,E466)))</f>
        <v/>
      </c>
      <c r="L466" s="5">
        <f>IF(A466="","",IF(OR(H466&lt;0,I466&lt;0,K466&lt;0),"UNMOEGLICH","OK"))</f>
        <v/>
      </c>
    </row>
    <row r="467">
      <c r="A467" s="7">
        <f>IF(ROW()-1&lt;=Eingabe!$B$4-Eingabe!$B$3+1,Eingabe!$B$3+ROW()-2,"")</f>
        <v/>
      </c>
      <c r="B467" s="5">
        <f>IF(A467="","",TEXT(A467,"yyyy-mm-dd"))</f>
        <v/>
      </c>
      <c r="C467" s="5">
        <f>IF(A467="","",TEXT(A467,"ddd"))</f>
        <v/>
      </c>
      <c r="D467" s="5">
        <f>IF(A467="","",TEXT(A467,"yyyy-mm"))</f>
        <v/>
      </c>
      <c r="E467" s="5">
        <f>IF(A467="","",IF(A467&lt;Eingabe!$B$5,"",INT((A467-Eingabe!$B$5)/(Eingabe!$B$6*7))+1))</f>
        <v/>
      </c>
      <c r="F467" s="8">
        <f>IF(A467="","",SUMPRODUCT((Eingabe!$B$16:$B$165&lt;&gt;"")*(Eingabe!$J$16:$J$165)*--(A467&gt;=Eingabe!$G$16:$G$165)*--(A467&lt;=Eingabe!$H$16:$H$165)*--(WEEKDAY(A467,2)&lt;=5)))</f>
        <v/>
      </c>
      <c r="G467" s="8">
        <f>IF(A467="","",SUM($F$2:F467))</f>
        <v/>
      </c>
      <c r="H467" s="8">
        <f>IF(A467="","",Eingabe!$B$7-G467)</f>
        <v/>
      </c>
      <c r="I467" s="8">
        <f>IF(A467="","",Eingabe!$B$8-SUMIFS($F$2:F467,$D$2:D467,D467))</f>
        <v/>
      </c>
      <c r="J467" s="8">
        <f>IF(A467="","",IF(E467="",1E+99,IFERROR(VLOOKUP(E467,Eingabe!$D$5:$E$44,2,FALSE),Eingabe!$B$9)))</f>
        <v/>
      </c>
      <c r="K467" s="8">
        <f>IF(A467="","",IF(E467="",1E+99,J467-SUMIFS($F$2:F467,$E$2:E467,E467)))</f>
        <v/>
      </c>
      <c r="L467" s="5">
        <f>IF(A467="","",IF(OR(H467&lt;0,I467&lt;0,K467&lt;0),"UNMOEGLICH","OK"))</f>
        <v/>
      </c>
    </row>
    <row r="468">
      <c r="A468" s="7">
        <f>IF(ROW()-1&lt;=Eingabe!$B$4-Eingabe!$B$3+1,Eingabe!$B$3+ROW()-2,"")</f>
        <v/>
      </c>
      <c r="B468" s="5">
        <f>IF(A468="","",TEXT(A468,"yyyy-mm-dd"))</f>
        <v/>
      </c>
      <c r="C468" s="5">
        <f>IF(A468="","",TEXT(A468,"ddd"))</f>
        <v/>
      </c>
      <c r="D468" s="5">
        <f>IF(A468="","",TEXT(A468,"yyyy-mm"))</f>
        <v/>
      </c>
      <c r="E468" s="5">
        <f>IF(A468="","",IF(A468&lt;Eingabe!$B$5,"",INT((A468-Eingabe!$B$5)/(Eingabe!$B$6*7))+1))</f>
        <v/>
      </c>
      <c r="F468" s="8">
        <f>IF(A468="","",SUMPRODUCT((Eingabe!$B$16:$B$165&lt;&gt;"")*(Eingabe!$J$16:$J$165)*--(A468&gt;=Eingabe!$G$16:$G$165)*--(A468&lt;=Eingabe!$H$16:$H$165)*--(WEEKDAY(A468,2)&lt;=5)))</f>
        <v/>
      </c>
      <c r="G468" s="8">
        <f>IF(A468="","",SUM($F$2:F468))</f>
        <v/>
      </c>
      <c r="H468" s="8">
        <f>IF(A468="","",Eingabe!$B$7-G468)</f>
        <v/>
      </c>
      <c r="I468" s="8">
        <f>IF(A468="","",Eingabe!$B$8-SUMIFS($F$2:F468,$D$2:D468,D468))</f>
        <v/>
      </c>
      <c r="J468" s="8">
        <f>IF(A468="","",IF(E468="",1E+99,IFERROR(VLOOKUP(E468,Eingabe!$D$5:$E$44,2,FALSE),Eingabe!$B$9)))</f>
        <v/>
      </c>
      <c r="K468" s="8">
        <f>IF(A468="","",IF(E468="",1E+99,J468-SUMIFS($F$2:F468,$E$2:E468,E468)))</f>
        <v/>
      </c>
      <c r="L468" s="5">
        <f>IF(A468="","",IF(OR(H468&lt;0,I468&lt;0,K468&lt;0),"UNMOEGLICH","OK"))</f>
        <v/>
      </c>
    </row>
    <row r="469">
      <c r="A469" s="7">
        <f>IF(ROW()-1&lt;=Eingabe!$B$4-Eingabe!$B$3+1,Eingabe!$B$3+ROW()-2,"")</f>
        <v/>
      </c>
      <c r="B469" s="5">
        <f>IF(A469="","",TEXT(A469,"yyyy-mm-dd"))</f>
        <v/>
      </c>
      <c r="C469" s="5">
        <f>IF(A469="","",TEXT(A469,"ddd"))</f>
        <v/>
      </c>
      <c r="D469" s="5">
        <f>IF(A469="","",TEXT(A469,"yyyy-mm"))</f>
        <v/>
      </c>
      <c r="E469" s="5">
        <f>IF(A469="","",IF(A469&lt;Eingabe!$B$5,"",INT((A469-Eingabe!$B$5)/(Eingabe!$B$6*7))+1))</f>
        <v/>
      </c>
      <c r="F469" s="8">
        <f>IF(A469="","",SUMPRODUCT((Eingabe!$B$16:$B$165&lt;&gt;"")*(Eingabe!$J$16:$J$165)*--(A469&gt;=Eingabe!$G$16:$G$165)*--(A469&lt;=Eingabe!$H$16:$H$165)*--(WEEKDAY(A469,2)&lt;=5)))</f>
        <v/>
      </c>
      <c r="G469" s="8">
        <f>IF(A469="","",SUM($F$2:F469))</f>
        <v/>
      </c>
      <c r="H469" s="8">
        <f>IF(A469="","",Eingabe!$B$7-G469)</f>
        <v/>
      </c>
      <c r="I469" s="8">
        <f>IF(A469="","",Eingabe!$B$8-SUMIFS($F$2:F469,$D$2:D469,D469))</f>
        <v/>
      </c>
      <c r="J469" s="8">
        <f>IF(A469="","",IF(E469="",1E+99,IFERROR(VLOOKUP(E469,Eingabe!$D$5:$E$44,2,FALSE),Eingabe!$B$9)))</f>
        <v/>
      </c>
      <c r="K469" s="8">
        <f>IF(A469="","",IF(E469="",1E+99,J469-SUMIFS($F$2:F469,$E$2:E469,E469)))</f>
        <v/>
      </c>
      <c r="L469" s="5">
        <f>IF(A469="","",IF(OR(H469&lt;0,I469&lt;0,K469&lt;0),"UNMOEGLICH","OK"))</f>
        <v/>
      </c>
    </row>
    <row r="470">
      <c r="A470" s="7">
        <f>IF(ROW()-1&lt;=Eingabe!$B$4-Eingabe!$B$3+1,Eingabe!$B$3+ROW()-2,"")</f>
        <v/>
      </c>
      <c r="B470" s="5">
        <f>IF(A470="","",TEXT(A470,"yyyy-mm-dd"))</f>
        <v/>
      </c>
      <c r="C470" s="5">
        <f>IF(A470="","",TEXT(A470,"ddd"))</f>
        <v/>
      </c>
      <c r="D470" s="5">
        <f>IF(A470="","",TEXT(A470,"yyyy-mm"))</f>
        <v/>
      </c>
      <c r="E470" s="5">
        <f>IF(A470="","",IF(A470&lt;Eingabe!$B$5,"",INT((A470-Eingabe!$B$5)/(Eingabe!$B$6*7))+1))</f>
        <v/>
      </c>
      <c r="F470" s="8">
        <f>IF(A470="","",SUMPRODUCT((Eingabe!$B$16:$B$165&lt;&gt;"")*(Eingabe!$J$16:$J$165)*--(A470&gt;=Eingabe!$G$16:$G$165)*--(A470&lt;=Eingabe!$H$16:$H$165)*--(WEEKDAY(A470,2)&lt;=5)))</f>
        <v/>
      </c>
      <c r="G470" s="8">
        <f>IF(A470="","",SUM($F$2:F470))</f>
        <v/>
      </c>
      <c r="H470" s="8">
        <f>IF(A470="","",Eingabe!$B$7-G470)</f>
        <v/>
      </c>
      <c r="I470" s="8">
        <f>IF(A470="","",Eingabe!$B$8-SUMIFS($F$2:F470,$D$2:D470,D470))</f>
        <v/>
      </c>
      <c r="J470" s="8">
        <f>IF(A470="","",IF(E470="",1E+99,IFERROR(VLOOKUP(E470,Eingabe!$D$5:$E$44,2,FALSE),Eingabe!$B$9)))</f>
        <v/>
      </c>
      <c r="K470" s="8">
        <f>IF(A470="","",IF(E470="",1E+99,J470-SUMIFS($F$2:F470,$E$2:E470,E470)))</f>
        <v/>
      </c>
      <c r="L470" s="5">
        <f>IF(A470="","",IF(OR(H470&lt;0,I470&lt;0,K470&lt;0),"UNMOEGLICH","OK"))</f>
        <v/>
      </c>
    </row>
    <row r="471">
      <c r="A471" s="7">
        <f>IF(ROW()-1&lt;=Eingabe!$B$4-Eingabe!$B$3+1,Eingabe!$B$3+ROW()-2,"")</f>
        <v/>
      </c>
      <c r="B471" s="5">
        <f>IF(A471="","",TEXT(A471,"yyyy-mm-dd"))</f>
        <v/>
      </c>
      <c r="C471" s="5">
        <f>IF(A471="","",TEXT(A471,"ddd"))</f>
        <v/>
      </c>
      <c r="D471" s="5">
        <f>IF(A471="","",TEXT(A471,"yyyy-mm"))</f>
        <v/>
      </c>
      <c r="E471" s="5">
        <f>IF(A471="","",IF(A471&lt;Eingabe!$B$5,"",INT((A471-Eingabe!$B$5)/(Eingabe!$B$6*7))+1))</f>
        <v/>
      </c>
      <c r="F471" s="8">
        <f>IF(A471="","",SUMPRODUCT((Eingabe!$B$16:$B$165&lt;&gt;"")*(Eingabe!$J$16:$J$165)*--(A471&gt;=Eingabe!$G$16:$G$165)*--(A471&lt;=Eingabe!$H$16:$H$165)*--(WEEKDAY(A471,2)&lt;=5)))</f>
        <v/>
      </c>
      <c r="G471" s="8">
        <f>IF(A471="","",SUM($F$2:F471))</f>
        <v/>
      </c>
      <c r="H471" s="8">
        <f>IF(A471="","",Eingabe!$B$7-G471)</f>
        <v/>
      </c>
      <c r="I471" s="8">
        <f>IF(A471="","",Eingabe!$B$8-SUMIFS($F$2:F471,$D$2:D471,D471))</f>
        <v/>
      </c>
      <c r="J471" s="8">
        <f>IF(A471="","",IF(E471="",1E+99,IFERROR(VLOOKUP(E471,Eingabe!$D$5:$E$44,2,FALSE),Eingabe!$B$9)))</f>
        <v/>
      </c>
      <c r="K471" s="8">
        <f>IF(A471="","",IF(E471="",1E+99,J471-SUMIFS($F$2:F471,$E$2:E471,E471)))</f>
        <v/>
      </c>
      <c r="L471" s="5">
        <f>IF(A471="","",IF(OR(H471&lt;0,I471&lt;0,K471&lt;0),"UNMOEGLICH","OK"))</f>
        <v/>
      </c>
    </row>
    <row r="472">
      <c r="A472" s="7">
        <f>IF(ROW()-1&lt;=Eingabe!$B$4-Eingabe!$B$3+1,Eingabe!$B$3+ROW()-2,"")</f>
        <v/>
      </c>
      <c r="B472" s="5">
        <f>IF(A472="","",TEXT(A472,"yyyy-mm-dd"))</f>
        <v/>
      </c>
      <c r="C472" s="5">
        <f>IF(A472="","",TEXT(A472,"ddd"))</f>
        <v/>
      </c>
      <c r="D472" s="5">
        <f>IF(A472="","",TEXT(A472,"yyyy-mm"))</f>
        <v/>
      </c>
      <c r="E472" s="5">
        <f>IF(A472="","",IF(A472&lt;Eingabe!$B$5,"",INT((A472-Eingabe!$B$5)/(Eingabe!$B$6*7))+1))</f>
        <v/>
      </c>
      <c r="F472" s="8">
        <f>IF(A472="","",SUMPRODUCT((Eingabe!$B$16:$B$165&lt;&gt;"")*(Eingabe!$J$16:$J$165)*--(A472&gt;=Eingabe!$G$16:$G$165)*--(A472&lt;=Eingabe!$H$16:$H$165)*--(WEEKDAY(A472,2)&lt;=5)))</f>
        <v/>
      </c>
      <c r="G472" s="8">
        <f>IF(A472="","",SUM($F$2:F472))</f>
        <v/>
      </c>
      <c r="H472" s="8">
        <f>IF(A472="","",Eingabe!$B$7-G472)</f>
        <v/>
      </c>
      <c r="I472" s="8">
        <f>IF(A472="","",Eingabe!$B$8-SUMIFS($F$2:F472,$D$2:D472,D472))</f>
        <v/>
      </c>
      <c r="J472" s="8">
        <f>IF(A472="","",IF(E472="",1E+99,IFERROR(VLOOKUP(E472,Eingabe!$D$5:$E$44,2,FALSE),Eingabe!$B$9)))</f>
        <v/>
      </c>
      <c r="K472" s="8">
        <f>IF(A472="","",IF(E472="",1E+99,J472-SUMIFS($F$2:F472,$E$2:E472,E472)))</f>
        <v/>
      </c>
      <c r="L472" s="5">
        <f>IF(A472="","",IF(OR(H472&lt;0,I472&lt;0,K472&lt;0),"UNMOEGLICH","OK"))</f>
        <v/>
      </c>
    </row>
    <row r="473">
      <c r="A473" s="7">
        <f>IF(ROW()-1&lt;=Eingabe!$B$4-Eingabe!$B$3+1,Eingabe!$B$3+ROW()-2,"")</f>
        <v/>
      </c>
      <c r="B473" s="5">
        <f>IF(A473="","",TEXT(A473,"yyyy-mm-dd"))</f>
        <v/>
      </c>
      <c r="C473" s="5">
        <f>IF(A473="","",TEXT(A473,"ddd"))</f>
        <v/>
      </c>
      <c r="D473" s="5">
        <f>IF(A473="","",TEXT(A473,"yyyy-mm"))</f>
        <v/>
      </c>
      <c r="E473" s="5">
        <f>IF(A473="","",IF(A473&lt;Eingabe!$B$5,"",INT((A473-Eingabe!$B$5)/(Eingabe!$B$6*7))+1))</f>
        <v/>
      </c>
      <c r="F473" s="8">
        <f>IF(A473="","",SUMPRODUCT((Eingabe!$B$16:$B$165&lt;&gt;"")*(Eingabe!$J$16:$J$165)*--(A473&gt;=Eingabe!$G$16:$G$165)*--(A473&lt;=Eingabe!$H$16:$H$165)*--(WEEKDAY(A473,2)&lt;=5)))</f>
        <v/>
      </c>
      <c r="G473" s="8">
        <f>IF(A473="","",SUM($F$2:F473))</f>
        <v/>
      </c>
      <c r="H473" s="8">
        <f>IF(A473="","",Eingabe!$B$7-G473)</f>
        <v/>
      </c>
      <c r="I473" s="8">
        <f>IF(A473="","",Eingabe!$B$8-SUMIFS($F$2:F473,$D$2:D473,D473))</f>
        <v/>
      </c>
      <c r="J473" s="8">
        <f>IF(A473="","",IF(E473="",1E+99,IFERROR(VLOOKUP(E473,Eingabe!$D$5:$E$44,2,FALSE),Eingabe!$B$9)))</f>
        <v/>
      </c>
      <c r="K473" s="8">
        <f>IF(A473="","",IF(E473="",1E+99,J473-SUMIFS($F$2:F473,$E$2:E473,E473)))</f>
        <v/>
      </c>
      <c r="L473" s="5">
        <f>IF(A473="","",IF(OR(H473&lt;0,I473&lt;0,K473&lt;0),"UNMOEGLICH","OK"))</f>
        <v/>
      </c>
    </row>
    <row r="474">
      <c r="A474" s="7">
        <f>IF(ROW()-1&lt;=Eingabe!$B$4-Eingabe!$B$3+1,Eingabe!$B$3+ROW()-2,"")</f>
        <v/>
      </c>
      <c r="B474" s="5">
        <f>IF(A474="","",TEXT(A474,"yyyy-mm-dd"))</f>
        <v/>
      </c>
      <c r="C474" s="5">
        <f>IF(A474="","",TEXT(A474,"ddd"))</f>
        <v/>
      </c>
      <c r="D474" s="5">
        <f>IF(A474="","",TEXT(A474,"yyyy-mm"))</f>
        <v/>
      </c>
      <c r="E474" s="5">
        <f>IF(A474="","",IF(A474&lt;Eingabe!$B$5,"",INT((A474-Eingabe!$B$5)/(Eingabe!$B$6*7))+1))</f>
        <v/>
      </c>
      <c r="F474" s="8">
        <f>IF(A474="","",SUMPRODUCT((Eingabe!$B$16:$B$165&lt;&gt;"")*(Eingabe!$J$16:$J$165)*--(A474&gt;=Eingabe!$G$16:$G$165)*--(A474&lt;=Eingabe!$H$16:$H$165)*--(WEEKDAY(A474,2)&lt;=5)))</f>
        <v/>
      </c>
      <c r="G474" s="8">
        <f>IF(A474="","",SUM($F$2:F474))</f>
        <v/>
      </c>
      <c r="H474" s="8">
        <f>IF(A474="","",Eingabe!$B$7-G474)</f>
        <v/>
      </c>
      <c r="I474" s="8">
        <f>IF(A474="","",Eingabe!$B$8-SUMIFS($F$2:F474,$D$2:D474,D474))</f>
        <v/>
      </c>
      <c r="J474" s="8">
        <f>IF(A474="","",IF(E474="",1E+99,IFERROR(VLOOKUP(E474,Eingabe!$D$5:$E$44,2,FALSE),Eingabe!$B$9)))</f>
        <v/>
      </c>
      <c r="K474" s="8">
        <f>IF(A474="","",IF(E474="",1E+99,J474-SUMIFS($F$2:F474,$E$2:E474,E474)))</f>
        <v/>
      </c>
      <c r="L474" s="5">
        <f>IF(A474="","",IF(OR(H474&lt;0,I474&lt;0,K474&lt;0),"UNMOEGLICH","OK"))</f>
        <v/>
      </c>
    </row>
    <row r="475">
      <c r="A475" s="7">
        <f>IF(ROW()-1&lt;=Eingabe!$B$4-Eingabe!$B$3+1,Eingabe!$B$3+ROW()-2,"")</f>
        <v/>
      </c>
      <c r="B475" s="5">
        <f>IF(A475="","",TEXT(A475,"yyyy-mm-dd"))</f>
        <v/>
      </c>
      <c r="C475" s="5">
        <f>IF(A475="","",TEXT(A475,"ddd"))</f>
        <v/>
      </c>
      <c r="D475" s="5">
        <f>IF(A475="","",TEXT(A475,"yyyy-mm"))</f>
        <v/>
      </c>
      <c r="E475" s="5">
        <f>IF(A475="","",IF(A475&lt;Eingabe!$B$5,"",INT((A475-Eingabe!$B$5)/(Eingabe!$B$6*7))+1))</f>
        <v/>
      </c>
      <c r="F475" s="8">
        <f>IF(A475="","",SUMPRODUCT((Eingabe!$B$16:$B$165&lt;&gt;"")*(Eingabe!$J$16:$J$165)*--(A475&gt;=Eingabe!$G$16:$G$165)*--(A475&lt;=Eingabe!$H$16:$H$165)*--(WEEKDAY(A475,2)&lt;=5)))</f>
        <v/>
      </c>
      <c r="G475" s="8">
        <f>IF(A475="","",SUM($F$2:F475))</f>
        <v/>
      </c>
      <c r="H475" s="8">
        <f>IF(A475="","",Eingabe!$B$7-G475)</f>
        <v/>
      </c>
      <c r="I475" s="8">
        <f>IF(A475="","",Eingabe!$B$8-SUMIFS($F$2:F475,$D$2:D475,D475))</f>
        <v/>
      </c>
      <c r="J475" s="8">
        <f>IF(A475="","",IF(E475="",1E+99,IFERROR(VLOOKUP(E475,Eingabe!$D$5:$E$44,2,FALSE),Eingabe!$B$9)))</f>
        <v/>
      </c>
      <c r="K475" s="8">
        <f>IF(A475="","",IF(E475="",1E+99,J475-SUMIFS($F$2:F475,$E$2:E475,E475)))</f>
        <v/>
      </c>
      <c r="L475" s="5">
        <f>IF(A475="","",IF(OR(H475&lt;0,I475&lt;0,K475&lt;0),"UNMOEGLICH","OK"))</f>
        <v/>
      </c>
    </row>
    <row r="476">
      <c r="A476" s="7">
        <f>IF(ROW()-1&lt;=Eingabe!$B$4-Eingabe!$B$3+1,Eingabe!$B$3+ROW()-2,"")</f>
        <v/>
      </c>
      <c r="B476" s="5">
        <f>IF(A476="","",TEXT(A476,"yyyy-mm-dd"))</f>
        <v/>
      </c>
      <c r="C476" s="5">
        <f>IF(A476="","",TEXT(A476,"ddd"))</f>
        <v/>
      </c>
      <c r="D476" s="5">
        <f>IF(A476="","",TEXT(A476,"yyyy-mm"))</f>
        <v/>
      </c>
      <c r="E476" s="5">
        <f>IF(A476="","",IF(A476&lt;Eingabe!$B$5,"",INT((A476-Eingabe!$B$5)/(Eingabe!$B$6*7))+1))</f>
        <v/>
      </c>
      <c r="F476" s="8">
        <f>IF(A476="","",SUMPRODUCT((Eingabe!$B$16:$B$165&lt;&gt;"")*(Eingabe!$J$16:$J$165)*--(A476&gt;=Eingabe!$G$16:$G$165)*--(A476&lt;=Eingabe!$H$16:$H$165)*--(WEEKDAY(A476,2)&lt;=5)))</f>
        <v/>
      </c>
      <c r="G476" s="8">
        <f>IF(A476="","",SUM($F$2:F476))</f>
        <v/>
      </c>
      <c r="H476" s="8">
        <f>IF(A476="","",Eingabe!$B$7-G476)</f>
        <v/>
      </c>
      <c r="I476" s="8">
        <f>IF(A476="","",Eingabe!$B$8-SUMIFS($F$2:F476,$D$2:D476,D476))</f>
        <v/>
      </c>
      <c r="J476" s="8">
        <f>IF(A476="","",IF(E476="",1E+99,IFERROR(VLOOKUP(E476,Eingabe!$D$5:$E$44,2,FALSE),Eingabe!$B$9)))</f>
        <v/>
      </c>
      <c r="K476" s="8">
        <f>IF(A476="","",IF(E476="",1E+99,J476-SUMIFS($F$2:F476,$E$2:E476,E476)))</f>
        <v/>
      </c>
      <c r="L476" s="5">
        <f>IF(A476="","",IF(OR(H476&lt;0,I476&lt;0,K476&lt;0),"UNMOEGLICH","OK"))</f>
        <v/>
      </c>
    </row>
    <row r="477">
      <c r="A477" s="7">
        <f>IF(ROW()-1&lt;=Eingabe!$B$4-Eingabe!$B$3+1,Eingabe!$B$3+ROW()-2,"")</f>
        <v/>
      </c>
      <c r="B477" s="5">
        <f>IF(A477="","",TEXT(A477,"yyyy-mm-dd"))</f>
        <v/>
      </c>
      <c r="C477" s="5">
        <f>IF(A477="","",TEXT(A477,"ddd"))</f>
        <v/>
      </c>
      <c r="D477" s="5">
        <f>IF(A477="","",TEXT(A477,"yyyy-mm"))</f>
        <v/>
      </c>
      <c r="E477" s="5">
        <f>IF(A477="","",IF(A477&lt;Eingabe!$B$5,"",INT((A477-Eingabe!$B$5)/(Eingabe!$B$6*7))+1))</f>
        <v/>
      </c>
      <c r="F477" s="8">
        <f>IF(A477="","",SUMPRODUCT((Eingabe!$B$16:$B$165&lt;&gt;"")*(Eingabe!$J$16:$J$165)*--(A477&gt;=Eingabe!$G$16:$G$165)*--(A477&lt;=Eingabe!$H$16:$H$165)*--(WEEKDAY(A477,2)&lt;=5)))</f>
        <v/>
      </c>
      <c r="G477" s="8">
        <f>IF(A477="","",SUM($F$2:F477))</f>
        <v/>
      </c>
      <c r="H477" s="8">
        <f>IF(A477="","",Eingabe!$B$7-G477)</f>
        <v/>
      </c>
      <c r="I477" s="8">
        <f>IF(A477="","",Eingabe!$B$8-SUMIFS($F$2:F477,$D$2:D477,D477))</f>
        <v/>
      </c>
      <c r="J477" s="8">
        <f>IF(A477="","",IF(E477="",1E+99,IFERROR(VLOOKUP(E477,Eingabe!$D$5:$E$44,2,FALSE),Eingabe!$B$9)))</f>
        <v/>
      </c>
      <c r="K477" s="8">
        <f>IF(A477="","",IF(E477="",1E+99,J477-SUMIFS($F$2:F477,$E$2:E477,E477)))</f>
        <v/>
      </c>
      <c r="L477" s="5">
        <f>IF(A477="","",IF(OR(H477&lt;0,I477&lt;0,K477&lt;0),"UNMOEGLICH","OK"))</f>
        <v/>
      </c>
    </row>
    <row r="478">
      <c r="A478" s="7">
        <f>IF(ROW()-1&lt;=Eingabe!$B$4-Eingabe!$B$3+1,Eingabe!$B$3+ROW()-2,"")</f>
        <v/>
      </c>
      <c r="B478" s="5">
        <f>IF(A478="","",TEXT(A478,"yyyy-mm-dd"))</f>
        <v/>
      </c>
      <c r="C478" s="5">
        <f>IF(A478="","",TEXT(A478,"ddd"))</f>
        <v/>
      </c>
      <c r="D478" s="5">
        <f>IF(A478="","",TEXT(A478,"yyyy-mm"))</f>
        <v/>
      </c>
      <c r="E478" s="5">
        <f>IF(A478="","",IF(A478&lt;Eingabe!$B$5,"",INT((A478-Eingabe!$B$5)/(Eingabe!$B$6*7))+1))</f>
        <v/>
      </c>
      <c r="F478" s="8">
        <f>IF(A478="","",SUMPRODUCT((Eingabe!$B$16:$B$165&lt;&gt;"")*(Eingabe!$J$16:$J$165)*--(A478&gt;=Eingabe!$G$16:$G$165)*--(A478&lt;=Eingabe!$H$16:$H$165)*--(WEEKDAY(A478,2)&lt;=5)))</f>
        <v/>
      </c>
      <c r="G478" s="8">
        <f>IF(A478="","",SUM($F$2:F478))</f>
        <v/>
      </c>
      <c r="H478" s="8">
        <f>IF(A478="","",Eingabe!$B$7-G478)</f>
        <v/>
      </c>
      <c r="I478" s="8">
        <f>IF(A478="","",Eingabe!$B$8-SUMIFS($F$2:F478,$D$2:D478,D478))</f>
        <v/>
      </c>
      <c r="J478" s="8">
        <f>IF(A478="","",IF(E478="",1E+99,IFERROR(VLOOKUP(E478,Eingabe!$D$5:$E$44,2,FALSE),Eingabe!$B$9)))</f>
        <v/>
      </c>
      <c r="K478" s="8">
        <f>IF(A478="","",IF(E478="",1E+99,J478-SUMIFS($F$2:F478,$E$2:E478,E478)))</f>
        <v/>
      </c>
      <c r="L478" s="5">
        <f>IF(A478="","",IF(OR(H478&lt;0,I478&lt;0,K478&lt;0),"UNMOEGLICH","OK"))</f>
        <v/>
      </c>
    </row>
    <row r="479">
      <c r="A479" s="7">
        <f>IF(ROW()-1&lt;=Eingabe!$B$4-Eingabe!$B$3+1,Eingabe!$B$3+ROW()-2,"")</f>
        <v/>
      </c>
      <c r="B479" s="5">
        <f>IF(A479="","",TEXT(A479,"yyyy-mm-dd"))</f>
        <v/>
      </c>
      <c r="C479" s="5">
        <f>IF(A479="","",TEXT(A479,"ddd"))</f>
        <v/>
      </c>
      <c r="D479" s="5">
        <f>IF(A479="","",TEXT(A479,"yyyy-mm"))</f>
        <v/>
      </c>
      <c r="E479" s="5">
        <f>IF(A479="","",IF(A479&lt;Eingabe!$B$5,"",INT((A479-Eingabe!$B$5)/(Eingabe!$B$6*7))+1))</f>
        <v/>
      </c>
      <c r="F479" s="8">
        <f>IF(A479="","",SUMPRODUCT((Eingabe!$B$16:$B$165&lt;&gt;"")*(Eingabe!$J$16:$J$165)*--(A479&gt;=Eingabe!$G$16:$G$165)*--(A479&lt;=Eingabe!$H$16:$H$165)*--(WEEKDAY(A479,2)&lt;=5)))</f>
        <v/>
      </c>
      <c r="G479" s="8">
        <f>IF(A479="","",SUM($F$2:F479))</f>
        <v/>
      </c>
      <c r="H479" s="8">
        <f>IF(A479="","",Eingabe!$B$7-G479)</f>
        <v/>
      </c>
      <c r="I479" s="8">
        <f>IF(A479="","",Eingabe!$B$8-SUMIFS($F$2:F479,$D$2:D479,D479))</f>
        <v/>
      </c>
      <c r="J479" s="8">
        <f>IF(A479="","",IF(E479="",1E+99,IFERROR(VLOOKUP(E479,Eingabe!$D$5:$E$44,2,FALSE),Eingabe!$B$9)))</f>
        <v/>
      </c>
      <c r="K479" s="8">
        <f>IF(A479="","",IF(E479="",1E+99,J479-SUMIFS($F$2:F479,$E$2:E479,E479)))</f>
        <v/>
      </c>
      <c r="L479" s="5">
        <f>IF(A479="","",IF(OR(H479&lt;0,I479&lt;0,K479&lt;0),"UNMOEGLICH","OK"))</f>
        <v/>
      </c>
    </row>
    <row r="480">
      <c r="A480" s="7">
        <f>IF(ROW()-1&lt;=Eingabe!$B$4-Eingabe!$B$3+1,Eingabe!$B$3+ROW()-2,"")</f>
        <v/>
      </c>
      <c r="B480" s="5">
        <f>IF(A480="","",TEXT(A480,"yyyy-mm-dd"))</f>
        <v/>
      </c>
      <c r="C480" s="5">
        <f>IF(A480="","",TEXT(A480,"ddd"))</f>
        <v/>
      </c>
      <c r="D480" s="5">
        <f>IF(A480="","",TEXT(A480,"yyyy-mm"))</f>
        <v/>
      </c>
      <c r="E480" s="5">
        <f>IF(A480="","",IF(A480&lt;Eingabe!$B$5,"",INT((A480-Eingabe!$B$5)/(Eingabe!$B$6*7))+1))</f>
        <v/>
      </c>
      <c r="F480" s="8">
        <f>IF(A480="","",SUMPRODUCT((Eingabe!$B$16:$B$165&lt;&gt;"")*(Eingabe!$J$16:$J$165)*--(A480&gt;=Eingabe!$G$16:$G$165)*--(A480&lt;=Eingabe!$H$16:$H$165)*--(WEEKDAY(A480,2)&lt;=5)))</f>
        <v/>
      </c>
      <c r="G480" s="8">
        <f>IF(A480="","",SUM($F$2:F480))</f>
        <v/>
      </c>
      <c r="H480" s="8">
        <f>IF(A480="","",Eingabe!$B$7-G480)</f>
        <v/>
      </c>
      <c r="I480" s="8">
        <f>IF(A480="","",Eingabe!$B$8-SUMIFS($F$2:F480,$D$2:D480,D480))</f>
        <v/>
      </c>
      <c r="J480" s="8">
        <f>IF(A480="","",IF(E480="",1E+99,IFERROR(VLOOKUP(E480,Eingabe!$D$5:$E$44,2,FALSE),Eingabe!$B$9)))</f>
        <v/>
      </c>
      <c r="K480" s="8">
        <f>IF(A480="","",IF(E480="",1E+99,J480-SUMIFS($F$2:F480,$E$2:E480,E480)))</f>
        <v/>
      </c>
      <c r="L480" s="5">
        <f>IF(A480="","",IF(OR(H480&lt;0,I480&lt;0,K480&lt;0),"UNMOEGLICH","OK"))</f>
        <v/>
      </c>
    </row>
    <row r="481">
      <c r="A481" s="7">
        <f>IF(ROW()-1&lt;=Eingabe!$B$4-Eingabe!$B$3+1,Eingabe!$B$3+ROW()-2,"")</f>
        <v/>
      </c>
      <c r="B481" s="5">
        <f>IF(A481="","",TEXT(A481,"yyyy-mm-dd"))</f>
        <v/>
      </c>
      <c r="C481" s="5">
        <f>IF(A481="","",TEXT(A481,"ddd"))</f>
        <v/>
      </c>
      <c r="D481" s="5">
        <f>IF(A481="","",TEXT(A481,"yyyy-mm"))</f>
        <v/>
      </c>
      <c r="E481" s="5">
        <f>IF(A481="","",IF(A481&lt;Eingabe!$B$5,"",INT((A481-Eingabe!$B$5)/(Eingabe!$B$6*7))+1))</f>
        <v/>
      </c>
      <c r="F481" s="8">
        <f>IF(A481="","",SUMPRODUCT((Eingabe!$B$16:$B$165&lt;&gt;"")*(Eingabe!$J$16:$J$165)*--(A481&gt;=Eingabe!$G$16:$G$165)*--(A481&lt;=Eingabe!$H$16:$H$165)*--(WEEKDAY(A481,2)&lt;=5)))</f>
        <v/>
      </c>
      <c r="G481" s="8">
        <f>IF(A481="","",SUM($F$2:F481))</f>
        <v/>
      </c>
      <c r="H481" s="8">
        <f>IF(A481="","",Eingabe!$B$7-G481)</f>
        <v/>
      </c>
      <c r="I481" s="8">
        <f>IF(A481="","",Eingabe!$B$8-SUMIFS($F$2:F481,$D$2:D481,D481))</f>
        <v/>
      </c>
      <c r="J481" s="8">
        <f>IF(A481="","",IF(E481="",1E+99,IFERROR(VLOOKUP(E481,Eingabe!$D$5:$E$44,2,FALSE),Eingabe!$B$9)))</f>
        <v/>
      </c>
      <c r="K481" s="8">
        <f>IF(A481="","",IF(E481="",1E+99,J481-SUMIFS($F$2:F481,$E$2:E481,E481)))</f>
        <v/>
      </c>
      <c r="L481" s="5">
        <f>IF(A481="","",IF(OR(H481&lt;0,I481&lt;0,K481&lt;0),"UNMOEGLICH","OK"))</f>
        <v/>
      </c>
    </row>
    <row r="482">
      <c r="A482" s="7">
        <f>IF(ROW()-1&lt;=Eingabe!$B$4-Eingabe!$B$3+1,Eingabe!$B$3+ROW()-2,"")</f>
        <v/>
      </c>
      <c r="B482" s="5">
        <f>IF(A482="","",TEXT(A482,"yyyy-mm-dd"))</f>
        <v/>
      </c>
      <c r="C482" s="5">
        <f>IF(A482="","",TEXT(A482,"ddd"))</f>
        <v/>
      </c>
      <c r="D482" s="5">
        <f>IF(A482="","",TEXT(A482,"yyyy-mm"))</f>
        <v/>
      </c>
      <c r="E482" s="5">
        <f>IF(A482="","",IF(A482&lt;Eingabe!$B$5,"",INT((A482-Eingabe!$B$5)/(Eingabe!$B$6*7))+1))</f>
        <v/>
      </c>
      <c r="F482" s="8">
        <f>IF(A482="","",SUMPRODUCT((Eingabe!$B$16:$B$165&lt;&gt;"")*(Eingabe!$J$16:$J$165)*--(A482&gt;=Eingabe!$G$16:$G$165)*--(A482&lt;=Eingabe!$H$16:$H$165)*--(WEEKDAY(A482,2)&lt;=5)))</f>
        <v/>
      </c>
      <c r="G482" s="8">
        <f>IF(A482="","",SUM($F$2:F482))</f>
        <v/>
      </c>
      <c r="H482" s="8">
        <f>IF(A482="","",Eingabe!$B$7-G482)</f>
        <v/>
      </c>
      <c r="I482" s="8">
        <f>IF(A482="","",Eingabe!$B$8-SUMIFS($F$2:F482,$D$2:D482,D482))</f>
        <v/>
      </c>
      <c r="J482" s="8">
        <f>IF(A482="","",IF(E482="",1E+99,IFERROR(VLOOKUP(E482,Eingabe!$D$5:$E$44,2,FALSE),Eingabe!$B$9)))</f>
        <v/>
      </c>
      <c r="K482" s="8">
        <f>IF(A482="","",IF(E482="",1E+99,J482-SUMIFS($F$2:F482,$E$2:E482,E482)))</f>
        <v/>
      </c>
      <c r="L482" s="5">
        <f>IF(A482="","",IF(OR(H482&lt;0,I482&lt;0,K482&lt;0),"UNMOEGLICH","OK"))</f>
        <v/>
      </c>
    </row>
    <row r="483">
      <c r="A483" s="7">
        <f>IF(ROW()-1&lt;=Eingabe!$B$4-Eingabe!$B$3+1,Eingabe!$B$3+ROW()-2,"")</f>
        <v/>
      </c>
      <c r="B483" s="5">
        <f>IF(A483="","",TEXT(A483,"yyyy-mm-dd"))</f>
        <v/>
      </c>
      <c r="C483" s="5">
        <f>IF(A483="","",TEXT(A483,"ddd"))</f>
        <v/>
      </c>
      <c r="D483" s="5">
        <f>IF(A483="","",TEXT(A483,"yyyy-mm"))</f>
        <v/>
      </c>
      <c r="E483" s="5">
        <f>IF(A483="","",IF(A483&lt;Eingabe!$B$5,"",INT((A483-Eingabe!$B$5)/(Eingabe!$B$6*7))+1))</f>
        <v/>
      </c>
      <c r="F483" s="8">
        <f>IF(A483="","",SUMPRODUCT((Eingabe!$B$16:$B$165&lt;&gt;"")*(Eingabe!$J$16:$J$165)*--(A483&gt;=Eingabe!$G$16:$G$165)*--(A483&lt;=Eingabe!$H$16:$H$165)*--(WEEKDAY(A483,2)&lt;=5)))</f>
        <v/>
      </c>
      <c r="G483" s="8">
        <f>IF(A483="","",SUM($F$2:F483))</f>
        <v/>
      </c>
      <c r="H483" s="8">
        <f>IF(A483="","",Eingabe!$B$7-G483)</f>
        <v/>
      </c>
      <c r="I483" s="8">
        <f>IF(A483="","",Eingabe!$B$8-SUMIFS($F$2:F483,$D$2:D483,D483))</f>
        <v/>
      </c>
      <c r="J483" s="8">
        <f>IF(A483="","",IF(E483="",1E+99,IFERROR(VLOOKUP(E483,Eingabe!$D$5:$E$44,2,FALSE),Eingabe!$B$9)))</f>
        <v/>
      </c>
      <c r="K483" s="8">
        <f>IF(A483="","",IF(E483="",1E+99,J483-SUMIFS($F$2:F483,$E$2:E483,E483)))</f>
        <v/>
      </c>
      <c r="L483" s="5">
        <f>IF(A483="","",IF(OR(H483&lt;0,I483&lt;0,K483&lt;0),"UNMOEGLICH","OK"))</f>
        <v/>
      </c>
    </row>
    <row r="484">
      <c r="A484" s="7">
        <f>IF(ROW()-1&lt;=Eingabe!$B$4-Eingabe!$B$3+1,Eingabe!$B$3+ROW()-2,"")</f>
        <v/>
      </c>
      <c r="B484" s="5">
        <f>IF(A484="","",TEXT(A484,"yyyy-mm-dd"))</f>
        <v/>
      </c>
      <c r="C484" s="5">
        <f>IF(A484="","",TEXT(A484,"ddd"))</f>
        <v/>
      </c>
      <c r="D484" s="5">
        <f>IF(A484="","",TEXT(A484,"yyyy-mm"))</f>
        <v/>
      </c>
      <c r="E484" s="5">
        <f>IF(A484="","",IF(A484&lt;Eingabe!$B$5,"",INT((A484-Eingabe!$B$5)/(Eingabe!$B$6*7))+1))</f>
        <v/>
      </c>
      <c r="F484" s="8">
        <f>IF(A484="","",SUMPRODUCT((Eingabe!$B$16:$B$165&lt;&gt;"")*(Eingabe!$J$16:$J$165)*--(A484&gt;=Eingabe!$G$16:$G$165)*--(A484&lt;=Eingabe!$H$16:$H$165)*--(WEEKDAY(A484,2)&lt;=5)))</f>
        <v/>
      </c>
      <c r="G484" s="8">
        <f>IF(A484="","",SUM($F$2:F484))</f>
        <v/>
      </c>
      <c r="H484" s="8">
        <f>IF(A484="","",Eingabe!$B$7-G484)</f>
        <v/>
      </c>
      <c r="I484" s="8">
        <f>IF(A484="","",Eingabe!$B$8-SUMIFS($F$2:F484,$D$2:D484,D484))</f>
        <v/>
      </c>
      <c r="J484" s="8">
        <f>IF(A484="","",IF(E484="",1E+99,IFERROR(VLOOKUP(E484,Eingabe!$D$5:$E$44,2,FALSE),Eingabe!$B$9)))</f>
        <v/>
      </c>
      <c r="K484" s="8">
        <f>IF(A484="","",IF(E484="",1E+99,J484-SUMIFS($F$2:F484,$E$2:E484,E484)))</f>
        <v/>
      </c>
      <c r="L484" s="5">
        <f>IF(A484="","",IF(OR(H484&lt;0,I484&lt;0,K484&lt;0),"UNMOEGLICH","OK"))</f>
        <v/>
      </c>
    </row>
    <row r="485">
      <c r="A485" s="7">
        <f>IF(ROW()-1&lt;=Eingabe!$B$4-Eingabe!$B$3+1,Eingabe!$B$3+ROW()-2,"")</f>
        <v/>
      </c>
      <c r="B485" s="5">
        <f>IF(A485="","",TEXT(A485,"yyyy-mm-dd"))</f>
        <v/>
      </c>
      <c r="C485" s="5">
        <f>IF(A485="","",TEXT(A485,"ddd"))</f>
        <v/>
      </c>
      <c r="D485" s="5">
        <f>IF(A485="","",TEXT(A485,"yyyy-mm"))</f>
        <v/>
      </c>
      <c r="E485" s="5">
        <f>IF(A485="","",IF(A485&lt;Eingabe!$B$5,"",INT((A485-Eingabe!$B$5)/(Eingabe!$B$6*7))+1))</f>
        <v/>
      </c>
      <c r="F485" s="8">
        <f>IF(A485="","",SUMPRODUCT((Eingabe!$B$16:$B$165&lt;&gt;"")*(Eingabe!$J$16:$J$165)*--(A485&gt;=Eingabe!$G$16:$G$165)*--(A485&lt;=Eingabe!$H$16:$H$165)*--(WEEKDAY(A485,2)&lt;=5)))</f>
        <v/>
      </c>
      <c r="G485" s="8">
        <f>IF(A485="","",SUM($F$2:F485))</f>
        <v/>
      </c>
      <c r="H485" s="8">
        <f>IF(A485="","",Eingabe!$B$7-G485)</f>
        <v/>
      </c>
      <c r="I485" s="8">
        <f>IF(A485="","",Eingabe!$B$8-SUMIFS($F$2:F485,$D$2:D485,D485))</f>
        <v/>
      </c>
      <c r="J485" s="8">
        <f>IF(A485="","",IF(E485="",1E+99,IFERROR(VLOOKUP(E485,Eingabe!$D$5:$E$44,2,FALSE),Eingabe!$B$9)))</f>
        <v/>
      </c>
      <c r="K485" s="8">
        <f>IF(A485="","",IF(E485="",1E+99,J485-SUMIFS($F$2:F485,$E$2:E485,E485)))</f>
        <v/>
      </c>
      <c r="L485" s="5">
        <f>IF(A485="","",IF(OR(H485&lt;0,I485&lt;0,K485&lt;0),"UNMOEGLICH","OK"))</f>
        <v/>
      </c>
    </row>
    <row r="486">
      <c r="A486" s="7">
        <f>IF(ROW()-1&lt;=Eingabe!$B$4-Eingabe!$B$3+1,Eingabe!$B$3+ROW()-2,"")</f>
        <v/>
      </c>
      <c r="B486" s="5">
        <f>IF(A486="","",TEXT(A486,"yyyy-mm-dd"))</f>
        <v/>
      </c>
      <c r="C486" s="5">
        <f>IF(A486="","",TEXT(A486,"ddd"))</f>
        <v/>
      </c>
      <c r="D486" s="5">
        <f>IF(A486="","",TEXT(A486,"yyyy-mm"))</f>
        <v/>
      </c>
      <c r="E486" s="5">
        <f>IF(A486="","",IF(A486&lt;Eingabe!$B$5,"",INT((A486-Eingabe!$B$5)/(Eingabe!$B$6*7))+1))</f>
        <v/>
      </c>
      <c r="F486" s="8">
        <f>IF(A486="","",SUMPRODUCT((Eingabe!$B$16:$B$165&lt;&gt;"")*(Eingabe!$J$16:$J$165)*--(A486&gt;=Eingabe!$G$16:$G$165)*--(A486&lt;=Eingabe!$H$16:$H$165)*--(WEEKDAY(A486,2)&lt;=5)))</f>
        <v/>
      </c>
      <c r="G486" s="8">
        <f>IF(A486="","",SUM($F$2:F486))</f>
        <v/>
      </c>
      <c r="H486" s="8">
        <f>IF(A486="","",Eingabe!$B$7-G486)</f>
        <v/>
      </c>
      <c r="I486" s="8">
        <f>IF(A486="","",Eingabe!$B$8-SUMIFS($F$2:F486,$D$2:D486,D486))</f>
        <v/>
      </c>
      <c r="J486" s="8">
        <f>IF(A486="","",IF(E486="",1E+99,IFERROR(VLOOKUP(E486,Eingabe!$D$5:$E$44,2,FALSE),Eingabe!$B$9)))</f>
        <v/>
      </c>
      <c r="K486" s="8">
        <f>IF(A486="","",IF(E486="",1E+99,J486-SUMIFS($F$2:F486,$E$2:E486,E486)))</f>
        <v/>
      </c>
      <c r="L486" s="5">
        <f>IF(A486="","",IF(OR(H486&lt;0,I486&lt;0,K486&lt;0),"UNMOEGLICH","OK"))</f>
        <v/>
      </c>
    </row>
    <row r="487">
      <c r="A487" s="7">
        <f>IF(ROW()-1&lt;=Eingabe!$B$4-Eingabe!$B$3+1,Eingabe!$B$3+ROW()-2,"")</f>
        <v/>
      </c>
      <c r="B487" s="5">
        <f>IF(A487="","",TEXT(A487,"yyyy-mm-dd"))</f>
        <v/>
      </c>
      <c r="C487" s="5">
        <f>IF(A487="","",TEXT(A487,"ddd"))</f>
        <v/>
      </c>
      <c r="D487" s="5">
        <f>IF(A487="","",TEXT(A487,"yyyy-mm"))</f>
        <v/>
      </c>
      <c r="E487" s="5">
        <f>IF(A487="","",IF(A487&lt;Eingabe!$B$5,"",INT((A487-Eingabe!$B$5)/(Eingabe!$B$6*7))+1))</f>
        <v/>
      </c>
      <c r="F487" s="8">
        <f>IF(A487="","",SUMPRODUCT((Eingabe!$B$16:$B$165&lt;&gt;"")*(Eingabe!$J$16:$J$165)*--(A487&gt;=Eingabe!$G$16:$G$165)*--(A487&lt;=Eingabe!$H$16:$H$165)*--(WEEKDAY(A487,2)&lt;=5)))</f>
        <v/>
      </c>
      <c r="G487" s="8">
        <f>IF(A487="","",SUM($F$2:F487))</f>
        <v/>
      </c>
      <c r="H487" s="8">
        <f>IF(A487="","",Eingabe!$B$7-G487)</f>
        <v/>
      </c>
      <c r="I487" s="8">
        <f>IF(A487="","",Eingabe!$B$8-SUMIFS($F$2:F487,$D$2:D487,D487))</f>
        <v/>
      </c>
      <c r="J487" s="8">
        <f>IF(A487="","",IF(E487="",1E+99,IFERROR(VLOOKUP(E487,Eingabe!$D$5:$E$44,2,FALSE),Eingabe!$B$9)))</f>
        <v/>
      </c>
      <c r="K487" s="8">
        <f>IF(A487="","",IF(E487="",1E+99,J487-SUMIFS($F$2:F487,$E$2:E487,E487)))</f>
        <v/>
      </c>
      <c r="L487" s="5">
        <f>IF(A487="","",IF(OR(H487&lt;0,I487&lt;0,K487&lt;0),"UNMOEGLICH","OK"))</f>
        <v/>
      </c>
    </row>
    <row r="488">
      <c r="A488" s="7">
        <f>IF(ROW()-1&lt;=Eingabe!$B$4-Eingabe!$B$3+1,Eingabe!$B$3+ROW()-2,"")</f>
        <v/>
      </c>
      <c r="B488" s="5">
        <f>IF(A488="","",TEXT(A488,"yyyy-mm-dd"))</f>
        <v/>
      </c>
      <c r="C488" s="5">
        <f>IF(A488="","",TEXT(A488,"ddd"))</f>
        <v/>
      </c>
      <c r="D488" s="5">
        <f>IF(A488="","",TEXT(A488,"yyyy-mm"))</f>
        <v/>
      </c>
      <c r="E488" s="5">
        <f>IF(A488="","",IF(A488&lt;Eingabe!$B$5,"",INT((A488-Eingabe!$B$5)/(Eingabe!$B$6*7))+1))</f>
        <v/>
      </c>
      <c r="F488" s="8">
        <f>IF(A488="","",SUMPRODUCT((Eingabe!$B$16:$B$165&lt;&gt;"")*(Eingabe!$J$16:$J$165)*--(A488&gt;=Eingabe!$G$16:$G$165)*--(A488&lt;=Eingabe!$H$16:$H$165)*--(WEEKDAY(A488,2)&lt;=5)))</f>
        <v/>
      </c>
      <c r="G488" s="8">
        <f>IF(A488="","",SUM($F$2:F488))</f>
        <v/>
      </c>
      <c r="H488" s="8">
        <f>IF(A488="","",Eingabe!$B$7-G488)</f>
        <v/>
      </c>
      <c r="I488" s="8">
        <f>IF(A488="","",Eingabe!$B$8-SUMIFS($F$2:F488,$D$2:D488,D488))</f>
        <v/>
      </c>
      <c r="J488" s="8">
        <f>IF(A488="","",IF(E488="",1E+99,IFERROR(VLOOKUP(E488,Eingabe!$D$5:$E$44,2,FALSE),Eingabe!$B$9)))</f>
        <v/>
      </c>
      <c r="K488" s="8">
        <f>IF(A488="","",IF(E488="",1E+99,J488-SUMIFS($F$2:F488,$E$2:E488,E488)))</f>
        <v/>
      </c>
      <c r="L488" s="5">
        <f>IF(A488="","",IF(OR(H488&lt;0,I488&lt;0,K488&lt;0),"UNMOEGLICH","OK"))</f>
        <v/>
      </c>
    </row>
    <row r="489">
      <c r="A489" s="7">
        <f>IF(ROW()-1&lt;=Eingabe!$B$4-Eingabe!$B$3+1,Eingabe!$B$3+ROW()-2,"")</f>
        <v/>
      </c>
      <c r="B489" s="5">
        <f>IF(A489="","",TEXT(A489,"yyyy-mm-dd"))</f>
        <v/>
      </c>
      <c r="C489" s="5">
        <f>IF(A489="","",TEXT(A489,"ddd"))</f>
        <v/>
      </c>
      <c r="D489" s="5">
        <f>IF(A489="","",TEXT(A489,"yyyy-mm"))</f>
        <v/>
      </c>
      <c r="E489" s="5">
        <f>IF(A489="","",IF(A489&lt;Eingabe!$B$5,"",INT((A489-Eingabe!$B$5)/(Eingabe!$B$6*7))+1))</f>
        <v/>
      </c>
      <c r="F489" s="8">
        <f>IF(A489="","",SUMPRODUCT((Eingabe!$B$16:$B$165&lt;&gt;"")*(Eingabe!$J$16:$J$165)*--(A489&gt;=Eingabe!$G$16:$G$165)*--(A489&lt;=Eingabe!$H$16:$H$165)*--(WEEKDAY(A489,2)&lt;=5)))</f>
        <v/>
      </c>
      <c r="G489" s="8">
        <f>IF(A489="","",SUM($F$2:F489))</f>
        <v/>
      </c>
      <c r="H489" s="8">
        <f>IF(A489="","",Eingabe!$B$7-G489)</f>
        <v/>
      </c>
      <c r="I489" s="8">
        <f>IF(A489="","",Eingabe!$B$8-SUMIFS($F$2:F489,$D$2:D489,D489))</f>
        <v/>
      </c>
      <c r="J489" s="8">
        <f>IF(A489="","",IF(E489="",1E+99,IFERROR(VLOOKUP(E489,Eingabe!$D$5:$E$44,2,FALSE),Eingabe!$B$9)))</f>
        <v/>
      </c>
      <c r="K489" s="8">
        <f>IF(A489="","",IF(E489="",1E+99,J489-SUMIFS($F$2:F489,$E$2:E489,E489)))</f>
        <v/>
      </c>
      <c r="L489" s="5">
        <f>IF(A489="","",IF(OR(H489&lt;0,I489&lt;0,K489&lt;0),"UNMOEGLICH","OK"))</f>
        <v/>
      </c>
    </row>
    <row r="490">
      <c r="A490" s="7">
        <f>IF(ROW()-1&lt;=Eingabe!$B$4-Eingabe!$B$3+1,Eingabe!$B$3+ROW()-2,"")</f>
        <v/>
      </c>
      <c r="B490" s="5">
        <f>IF(A490="","",TEXT(A490,"yyyy-mm-dd"))</f>
        <v/>
      </c>
      <c r="C490" s="5">
        <f>IF(A490="","",TEXT(A490,"ddd"))</f>
        <v/>
      </c>
      <c r="D490" s="5">
        <f>IF(A490="","",TEXT(A490,"yyyy-mm"))</f>
        <v/>
      </c>
      <c r="E490" s="5">
        <f>IF(A490="","",IF(A490&lt;Eingabe!$B$5,"",INT((A490-Eingabe!$B$5)/(Eingabe!$B$6*7))+1))</f>
        <v/>
      </c>
      <c r="F490" s="8">
        <f>IF(A490="","",SUMPRODUCT((Eingabe!$B$16:$B$165&lt;&gt;"")*(Eingabe!$J$16:$J$165)*--(A490&gt;=Eingabe!$G$16:$G$165)*--(A490&lt;=Eingabe!$H$16:$H$165)*--(WEEKDAY(A490,2)&lt;=5)))</f>
        <v/>
      </c>
      <c r="G490" s="8">
        <f>IF(A490="","",SUM($F$2:F490))</f>
        <v/>
      </c>
      <c r="H490" s="8">
        <f>IF(A490="","",Eingabe!$B$7-G490)</f>
        <v/>
      </c>
      <c r="I490" s="8">
        <f>IF(A490="","",Eingabe!$B$8-SUMIFS($F$2:F490,$D$2:D490,D490))</f>
        <v/>
      </c>
      <c r="J490" s="8">
        <f>IF(A490="","",IF(E490="",1E+99,IFERROR(VLOOKUP(E490,Eingabe!$D$5:$E$44,2,FALSE),Eingabe!$B$9)))</f>
        <v/>
      </c>
      <c r="K490" s="8">
        <f>IF(A490="","",IF(E490="",1E+99,J490-SUMIFS($F$2:F490,$E$2:E490,E490)))</f>
        <v/>
      </c>
      <c r="L490" s="5">
        <f>IF(A490="","",IF(OR(H490&lt;0,I490&lt;0,K490&lt;0),"UNMOEGLICH","OK"))</f>
        <v/>
      </c>
    </row>
    <row r="491">
      <c r="A491" s="7">
        <f>IF(ROW()-1&lt;=Eingabe!$B$4-Eingabe!$B$3+1,Eingabe!$B$3+ROW()-2,"")</f>
        <v/>
      </c>
      <c r="B491" s="5">
        <f>IF(A491="","",TEXT(A491,"yyyy-mm-dd"))</f>
        <v/>
      </c>
      <c r="C491" s="5">
        <f>IF(A491="","",TEXT(A491,"ddd"))</f>
        <v/>
      </c>
      <c r="D491" s="5">
        <f>IF(A491="","",TEXT(A491,"yyyy-mm"))</f>
        <v/>
      </c>
      <c r="E491" s="5">
        <f>IF(A491="","",IF(A491&lt;Eingabe!$B$5,"",INT((A491-Eingabe!$B$5)/(Eingabe!$B$6*7))+1))</f>
        <v/>
      </c>
      <c r="F491" s="8">
        <f>IF(A491="","",SUMPRODUCT((Eingabe!$B$16:$B$165&lt;&gt;"")*(Eingabe!$J$16:$J$165)*--(A491&gt;=Eingabe!$G$16:$G$165)*--(A491&lt;=Eingabe!$H$16:$H$165)*--(WEEKDAY(A491,2)&lt;=5)))</f>
        <v/>
      </c>
      <c r="G491" s="8">
        <f>IF(A491="","",SUM($F$2:F491))</f>
        <v/>
      </c>
      <c r="H491" s="8">
        <f>IF(A491="","",Eingabe!$B$7-G491)</f>
        <v/>
      </c>
      <c r="I491" s="8">
        <f>IF(A491="","",Eingabe!$B$8-SUMIFS($F$2:F491,$D$2:D491,D491))</f>
        <v/>
      </c>
      <c r="J491" s="8">
        <f>IF(A491="","",IF(E491="",1E+99,IFERROR(VLOOKUP(E491,Eingabe!$D$5:$E$44,2,FALSE),Eingabe!$B$9)))</f>
        <v/>
      </c>
      <c r="K491" s="8">
        <f>IF(A491="","",IF(E491="",1E+99,J491-SUMIFS($F$2:F491,$E$2:E491,E491)))</f>
        <v/>
      </c>
      <c r="L491" s="5">
        <f>IF(A491="","",IF(OR(H491&lt;0,I491&lt;0,K491&lt;0),"UNMOEGLICH","OK"))</f>
        <v/>
      </c>
    </row>
    <row r="492">
      <c r="A492" s="7">
        <f>IF(ROW()-1&lt;=Eingabe!$B$4-Eingabe!$B$3+1,Eingabe!$B$3+ROW()-2,"")</f>
        <v/>
      </c>
      <c r="B492" s="5">
        <f>IF(A492="","",TEXT(A492,"yyyy-mm-dd"))</f>
        <v/>
      </c>
      <c r="C492" s="5">
        <f>IF(A492="","",TEXT(A492,"ddd"))</f>
        <v/>
      </c>
      <c r="D492" s="5">
        <f>IF(A492="","",TEXT(A492,"yyyy-mm"))</f>
        <v/>
      </c>
      <c r="E492" s="5">
        <f>IF(A492="","",IF(A492&lt;Eingabe!$B$5,"",INT((A492-Eingabe!$B$5)/(Eingabe!$B$6*7))+1))</f>
        <v/>
      </c>
      <c r="F492" s="8">
        <f>IF(A492="","",SUMPRODUCT((Eingabe!$B$16:$B$165&lt;&gt;"")*(Eingabe!$J$16:$J$165)*--(A492&gt;=Eingabe!$G$16:$G$165)*--(A492&lt;=Eingabe!$H$16:$H$165)*--(WEEKDAY(A492,2)&lt;=5)))</f>
        <v/>
      </c>
      <c r="G492" s="8">
        <f>IF(A492="","",SUM($F$2:F492))</f>
        <v/>
      </c>
      <c r="H492" s="8">
        <f>IF(A492="","",Eingabe!$B$7-G492)</f>
        <v/>
      </c>
      <c r="I492" s="8">
        <f>IF(A492="","",Eingabe!$B$8-SUMIFS($F$2:F492,$D$2:D492,D492))</f>
        <v/>
      </c>
      <c r="J492" s="8">
        <f>IF(A492="","",IF(E492="",1E+99,IFERROR(VLOOKUP(E492,Eingabe!$D$5:$E$44,2,FALSE),Eingabe!$B$9)))</f>
        <v/>
      </c>
      <c r="K492" s="8">
        <f>IF(A492="","",IF(E492="",1E+99,J492-SUMIFS($F$2:F492,$E$2:E492,E492)))</f>
        <v/>
      </c>
      <c r="L492" s="5">
        <f>IF(A492="","",IF(OR(H492&lt;0,I492&lt;0,K492&lt;0),"UNMOEGLICH","OK"))</f>
        <v/>
      </c>
    </row>
    <row r="493">
      <c r="A493" s="7">
        <f>IF(ROW()-1&lt;=Eingabe!$B$4-Eingabe!$B$3+1,Eingabe!$B$3+ROW()-2,"")</f>
        <v/>
      </c>
      <c r="B493" s="5">
        <f>IF(A493="","",TEXT(A493,"yyyy-mm-dd"))</f>
        <v/>
      </c>
      <c r="C493" s="5">
        <f>IF(A493="","",TEXT(A493,"ddd"))</f>
        <v/>
      </c>
      <c r="D493" s="5">
        <f>IF(A493="","",TEXT(A493,"yyyy-mm"))</f>
        <v/>
      </c>
      <c r="E493" s="5">
        <f>IF(A493="","",IF(A493&lt;Eingabe!$B$5,"",INT((A493-Eingabe!$B$5)/(Eingabe!$B$6*7))+1))</f>
        <v/>
      </c>
      <c r="F493" s="8">
        <f>IF(A493="","",SUMPRODUCT((Eingabe!$B$16:$B$165&lt;&gt;"")*(Eingabe!$J$16:$J$165)*--(A493&gt;=Eingabe!$G$16:$G$165)*--(A493&lt;=Eingabe!$H$16:$H$165)*--(WEEKDAY(A493,2)&lt;=5)))</f>
        <v/>
      </c>
      <c r="G493" s="8">
        <f>IF(A493="","",SUM($F$2:F493))</f>
        <v/>
      </c>
      <c r="H493" s="8">
        <f>IF(A493="","",Eingabe!$B$7-G493)</f>
        <v/>
      </c>
      <c r="I493" s="8">
        <f>IF(A493="","",Eingabe!$B$8-SUMIFS($F$2:F493,$D$2:D493,D493))</f>
        <v/>
      </c>
      <c r="J493" s="8">
        <f>IF(A493="","",IF(E493="",1E+99,IFERROR(VLOOKUP(E493,Eingabe!$D$5:$E$44,2,FALSE),Eingabe!$B$9)))</f>
        <v/>
      </c>
      <c r="K493" s="8">
        <f>IF(A493="","",IF(E493="",1E+99,J493-SUMIFS($F$2:F493,$E$2:E493,E493)))</f>
        <v/>
      </c>
      <c r="L493" s="5">
        <f>IF(A493="","",IF(OR(H493&lt;0,I493&lt;0,K493&lt;0),"UNMOEGLICH","OK"))</f>
        <v/>
      </c>
    </row>
    <row r="494">
      <c r="A494" s="7">
        <f>IF(ROW()-1&lt;=Eingabe!$B$4-Eingabe!$B$3+1,Eingabe!$B$3+ROW()-2,"")</f>
        <v/>
      </c>
      <c r="B494" s="5">
        <f>IF(A494="","",TEXT(A494,"yyyy-mm-dd"))</f>
        <v/>
      </c>
      <c r="C494" s="5">
        <f>IF(A494="","",TEXT(A494,"ddd"))</f>
        <v/>
      </c>
      <c r="D494" s="5">
        <f>IF(A494="","",TEXT(A494,"yyyy-mm"))</f>
        <v/>
      </c>
      <c r="E494" s="5">
        <f>IF(A494="","",IF(A494&lt;Eingabe!$B$5,"",INT((A494-Eingabe!$B$5)/(Eingabe!$B$6*7))+1))</f>
        <v/>
      </c>
      <c r="F494" s="8">
        <f>IF(A494="","",SUMPRODUCT((Eingabe!$B$16:$B$165&lt;&gt;"")*(Eingabe!$J$16:$J$165)*--(A494&gt;=Eingabe!$G$16:$G$165)*--(A494&lt;=Eingabe!$H$16:$H$165)*--(WEEKDAY(A494,2)&lt;=5)))</f>
        <v/>
      </c>
      <c r="G494" s="8">
        <f>IF(A494="","",SUM($F$2:F494))</f>
        <v/>
      </c>
      <c r="H494" s="8">
        <f>IF(A494="","",Eingabe!$B$7-G494)</f>
        <v/>
      </c>
      <c r="I494" s="8">
        <f>IF(A494="","",Eingabe!$B$8-SUMIFS($F$2:F494,$D$2:D494,D494))</f>
        <v/>
      </c>
      <c r="J494" s="8">
        <f>IF(A494="","",IF(E494="",1E+99,IFERROR(VLOOKUP(E494,Eingabe!$D$5:$E$44,2,FALSE),Eingabe!$B$9)))</f>
        <v/>
      </c>
      <c r="K494" s="8">
        <f>IF(A494="","",IF(E494="",1E+99,J494-SUMIFS($F$2:F494,$E$2:E494,E494)))</f>
        <v/>
      </c>
      <c r="L494" s="5">
        <f>IF(A494="","",IF(OR(H494&lt;0,I494&lt;0,K494&lt;0),"UNMOEGLICH","OK"))</f>
        <v/>
      </c>
    </row>
    <row r="495">
      <c r="A495" s="7">
        <f>IF(ROW()-1&lt;=Eingabe!$B$4-Eingabe!$B$3+1,Eingabe!$B$3+ROW()-2,"")</f>
        <v/>
      </c>
      <c r="B495" s="5">
        <f>IF(A495="","",TEXT(A495,"yyyy-mm-dd"))</f>
        <v/>
      </c>
      <c r="C495" s="5">
        <f>IF(A495="","",TEXT(A495,"ddd"))</f>
        <v/>
      </c>
      <c r="D495" s="5">
        <f>IF(A495="","",TEXT(A495,"yyyy-mm"))</f>
        <v/>
      </c>
      <c r="E495" s="5">
        <f>IF(A495="","",IF(A495&lt;Eingabe!$B$5,"",INT((A495-Eingabe!$B$5)/(Eingabe!$B$6*7))+1))</f>
        <v/>
      </c>
      <c r="F495" s="8">
        <f>IF(A495="","",SUMPRODUCT((Eingabe!$B$16:$B$165&lt;&gt;"")*(Eingabe!$J$16:$J$165)*--(A495&gt;=Eingabe!$G$16:$G$165)*--(A495&lt;=Eingabe!$H$16:$H$165)*--(WEEKDAY(A495,2)&lt;=5)))</f>
        <v/>
      </c>
      <c r="G495" s="8">
        <f>IF(A495="","",SUM($F$2:F495))</f>
        <v/>
      </c>
      <c r="H495" s="8">
        <f>IF(A495="","",Eingabe!$B$7-G495)</f>
        <v/>
      </c>
      <c r="I495" s="8">
        <f>IF(A495="","",Eingabe!$B$8-SUMIFS($F$2:F495,$D$2:D495,D495))</f>
        <v/>
      </c>
      <c r="J495" s="8">
        <f>IF(A495="","",IF(E495="",1E+99,IFERROR(VLOOKUP(E495,Eingabe!$D$5:$E$44,2,FALSE),Eingabe!$B$9)))</f>
        <v/>
      </c>
      <c r="K495" s="8">
        <f>IF(A495="","",IF(E495="",1E+99,J495-SUMIFS($F$2:F495,$E$2:E495,E495)))</f>
        <v/>
      </c>
      <c r="L495" s="5">
        <f>IF(A495="","",IF(OR(H495&lt;0,I495&lt;0,K495&lt;0),"UNMOEGLICH","OK"))</f>
        <v/>
      </c>
    </row>
    <row r="496">
      <c r="A496" s="7">
        <f>IF(ROW()-1&lt;=Eingabe!$B$4-Eingabe!$B$3+1,Eingabe!$B$3+ROW()-2,"")</f>
        <v/>
      </c>
      <c r="B496" s="5">
        <f>IF(A496="","",TEXT(A496,"yyyy-mm-dd"))</f>
        <v/>
      </c>
      <c r="C496" s="5">
        <f>IF(A496="","",TEXT(A496,"ddd"))</f>
        <v/>
      </c>
      <c r="D496" s="5">
        <f>IF(A496="","",TEXT(A496,"yyyy-mm"))</f>
        <v/>
      </c>
      <c r="E496" s="5">
        <f>IF(A496="","",IF(A496&lt;Eingabe!$B$5,"",INT((A496-Eingabe!$B$5)/(Eingabe!$B$6*7))+1))</f>
        <v/>
      </c>
      <c r="F496" s="8">
        <f>IF(A496="","",SUMPRODUCT((Eingabe!$B$16:$B$165&lt;&gt;"")*(Eingabe!$J$16:$J$165)*--(A496&gt;=Eingabe!$G$16:$G$165)*--(A496&lt;=Eingabe!$H$16:$H$165)*--(WEEKDAY(A496,2)&lt;=5)))</f>
        <v/>
      </c>
      <c r="G496" s="8">
        <f>IF(A496="","",SUM($F$2:F496))</f>
        <v/>
      </c>
      <c r="H496" s="8">
        <f>IF(A496="","",Eingabe!$B$7-G496)</f>
        <v/>
      </c>
      <c r="I496" s="8">
        <f>IF(A496="","",Eingabe!$B$8-SUMIFS($F$2:F496,$D$2:D496,D496))</f>
        <v/>
      </c>
      <c r="J496" s="8">
        <f>IF(A496="","",IF(E496="",1E+99,IFERROR(VLOOKUP(E496,Eingabe!$D$5:$E$44,2,FALSE),Eingabe!$B$9)))</f>
        <v/>
      </c>
      <c r="K496" s="8">
        <f>IF(A496="","",IF(E496="",1E+99,J496-SUMIFS($F$2:F496,$E$2:E496,E496)))</f>
        <v/>
      </c>
      <c r="L496" s="5">
        <f>IF(A496="","",IF(OR(H496&lt;0,I496&lt;0,K496&lt;0),"UNMOEGLICH","OK"))</f>
        <v/>
      </c>
    </row>
    <row r="497">
      <c r="A497" s="7">
        <f>IF(ROW()-1&lt;=Eingabe!$B$4-Eingabe!$B$3+1,Eingabe!$B$3+ROW()-2,"")</f>
        <v/>
      </c>
      <c r="B497" s="5">
        <f>IF(A497="","",TEXT(A497,"yyyy-mm-dd"))</f>
        <v/>
      </c>
      <c r="C497" s="5">
        <f>IF(A497="","",TEXT(A497,"ddd"))</f>
        <v/>
      </c>
      <c r="D497" s="5">
        <f>IF(A497="","",TEXT(A497,"yyyy-mm"))</f>
        <v/>
      </c>
      <c r="E497" s="5">
        <f>IF(A497="","",IF(A497&lt;Eingabe!$B$5,"",INT((A497-Eingabe!$B$5)/(Eingabe!$B$6*7))+1))</f>
        <v/>
      </c>
      <c r="F497" s="8">
        <f>IF(A497="","",SUMPRODUCT((Eingabe!$B$16:$B$165&lt;&gt;"")*(Eingabe!$J$16:$J$165)*--(A497&gt;=Eingabe!$G$16:$G$165)*--(A497&lt;=Eingabe!$H$16:$H$165)*--(WEEKDAY(A497,2)&lt;=5)))</f>
        <v/>
      </c>
      <c r="G497" s="8">
        <f>IF(A497="","",SUM($F$2:F497))</f>
        <v/>
      </c>
      <c r="H497" s="8">
        <f>IF(A497="","",Eingabe!$B$7-G497)</f>
        <v/>
      </c>
      <c r="I497" s="8">
        <f>IF(A497="","",Eingabe!$B$8-SUMIFS($F$2:F497,$D$2:D497,D497))</f>
        <v/>
      </c>
      <c r="J497" s="8">
        <f>IF(A497="","",IF(E497="",1E+99,IFERROR(VLOOKUP(E497,Eingabe!$D$5:$E$44,2,FALSE),Eingabe!$B$9)))</f>
        <v/>
      </c>
      <c r="K497" s="8">
        <f>IF(A497="","",IF(E497="",1E+99,J497-SUMIFS($F$2:F497,$E$2:E497,E497)))</f>
        <v/>
      </c>
      <c r="L497" s="5">
        <f>IF(A497="","",IF(OR(H497&lt;0,I497&lt;0,K497&lt;0),"UNMOEGLICH","OK"))</f>
        <v/>
      </c>
    </row>
    <row r="498">
      <c r="A498" s="7">
        <f>IF(ROW()-1&lt;=Eingabe!$B$4-Eingabe!$B$3+1,Eingabe!$B$3+ROW()-2,"")</f>
        <v/>
      </c>
      <c r="B498" s="5">
        <f>IF(A498="","",TEXT(A498,"yyyy-mm-dd"))</f>
        <v/>
      </c>
      <c r="C498" s="5">
        <f>IF(A498="","",TEXT(A498,"ddd"))</f>
        <v/>
      </c>
      <c r="D498" s="5">
        <f>IF(A498="","",TEXT(A498,"yyyy-mm"))</f>
        <v/>
      </c>
      <c r="E498" s="5">
        <f>IF(A498="","",IF(A498&lt;Eingabe!$B$5,"",INT((A498-Eingabe!$B$5)/(Eingabe!$B$6*7))+1))</f>
        <v/>
      </c>
      <c r="F498" s="8">
        <f>IF(A498="","",SUMPRODUCT((Eingabe!$B$16:$B$165&lt;&gt;"")*(Eingabe!$J$16:$J$165)*--(A498&gt;=Eingabe!$G$16:$G$165)*--(A498&lt;=Eingabe!$H$16:$H$165)*--(WEEKDAY(A498,2)&lt;=5)))</f>
        <v/>
      </c>
      <c r="G498" s="8">
        <f>IF(A498="","",SUM($F$2:F498))</f>
        <v/>
      </c>
      <c r="H498" s="8">
        <f>IF(A498="","",Eingabe!$B$7-G498)</f>
        <v/>
      </c>
      <c r="I498" s="8">
        <f>IF(A498="","",Eingabe!$B$8-SUMIFS($F$2:F498,$D$2:D498,D498))</f>
        <v/>
      </c>
      <c r="J498" s="8">
        <f>IF(A498="","",IF(E498="",1E+99,IFERROR(VLOOKUP(E498,Eingabe!$D$5:$E$44,2,FALSE),Eingabe!$B$9)))</f>
        <v/>
      </c>
      <c r="K498" s="8">
        <f>IF(A498="","",IF(E498="",1E+99,J498-SUMIFS($F$2:F498,$E$2:E498,E498)))</f>
        <v/>
      </c>
      <c r="L498" s="5">
        <f>IF(A498="","",IF(OR(H498&lt;0,I498&lt;0,K498&lt;0),"UNMOEGLICH","OK"))</f>
        <v/>
      </c>
    </row>
    <row r="499">
      <c r="A499" s="7">
        <f>IF(ROW()-1&lt;=Eingabe!$B$4-Eingabe!$B$3+1,Eingabe!$B$3+ROW()-2,"")</f>
        <v/>
      </c>
      <c r="B499" s="5">
        <f>IF(A499="","",TEXT(A499,"yyyy-mm-dd"))</f>
        <v/>
      </c>
      <c r="C499" s="5">
        <f>IF(A499="","",TEXT(A499,"ddd"))</f>
        <v/>
      </c>
      <c r="D499" s="5">
        <f>IF(A499="","",TEXT(A499,"yyyy-mm"))</f>
        <v/>
      </c>
      <c r="E499" s="5">
        <f>IF(A499="","",IF(A499&lt;Eingabe!$B$5,"",INT((A499-Eingabe!$B$5)/(Eingabe!$B$6*7))+1))</f>
        <v/>
      </c>
      <c r="F499" s="8">
        <f>IF(A499="","",SUMPRODUCT((Eingabe!$B$16:$B$165&lt;&gt;"")*(Eingabe!$J$16:$J$165)*--(A499&gt;=Eingabe!$G$16:$G$165)*--(A499&lt;=Eingabe!$H$16:$H$165)*--(WEEKDAY(A499,2)&lt;=5)))</f>
        <v/>
      </c>
      <c r="G499" s="8">
        <f>IF(A499="","",SUM($F$2:F499))</f>
        <v/>
      </c>
      <c r="H499" s="8">
        <f>IF(A499="","",Eingabe!$B$7-G499)</f>
        <v/>
      </c>
      <c r="I499" s="8">
        <f>IF(A499="","",Eingabe!$B$8-SUMIFS($F$2:F499,$D$2:D499,D499))</f>
        <v/>
      </c>
      <c r="J499" s="8">
        <f>IF(A499="","",IF(E499="",1E+99,IFERROR(VLOOKUP(E499,Eingabe!$D$5:$E$44,2,FALSE),Eingabe!$B$9)))</f>
        <v/>
      </c>
      <c r="K499" s="8">
        <f>IF(A499="","",IF(E499="",1E+99,J499-SUMIFS($F$2:F499,$E$2:E499,E499)))</f>
        <v/>
      </c>
      <c r="L499" s="5">
        <f>IF(A499="","",IF(OR(H499&lt;0,I499&lt;0,K499&lt;0),"UNMOEGLICH","OK"))</f>
        <v/>
      </c>
    </row>
    <row r="500">
      <c r="A500" s="7">
        <f>IF(ROW()-1&lt;=Eingabe!$B$4-Eingabe!$B$3+1,Eingabe!$B$3+ROW()-2,"")</f>
        <v/>
      </c>
      <c r="B500" s="5">
        <f>IF(A500="","",TEXT(A500,"yyyy-mm-dd"))</f>
        <v/>
      </c>
      <c r="C500" s="5">
        <f>IF(A500="","",TEXT(A500,"ddd"))</f>
        <v/>
      </c>
      <c r="D500" s="5">
        <f>IF(A500="","",TEXT(A500,"yyyy-mm"))</f>
        <v/>
      </c>
      <c r="E500" s="5">
        <f>IF(A500="","",IF(A500&lt;Eingabe!$B$5,"",INT((A500-Eingabe!$B$5)/(Eingabe!$B$6*7))+1))</f>
        <v/>
      </c>
      <c r="F500" s="8">
        <f>IF(A500="","",SUMPRODUCT((Eingabe!$B$16:$B$165&lt;&gt;"")*(Eingabe!$J$16:$J$165)*--(A500&gt;=Eingabe!$G$16:$G$165)*--(A500&lt;=Eingabe!$H$16:$H$165)*--(WEEKDAY(A500,2)&lt;=5)))</f>
        <v/>
      </c>
      <c r="G500" s="8">
        <f>IF(A500="","",SUM($F$2:F500))</f>
        <v/>
      </c>
      <c r="H500" s="8">
        <f>IF(A500="","",Eingabe!$B$7-G500)</f>
        <v/>
      </c>
      <c r="I500" s="8">
        <f>IF(A500="","",Eingabe!$B$8-SUMIFS($F$2:F500,$D$2:D500,D500))</f>
        <v/>
      </c>
      <c r="J500" s="8">
        <f>IF(A500="","",IF(E500="",1E+99,IFERROR(VLOOKUP(E500,Eingabe!$D$5:$E$44,2,FALSE),Eingabe!$B$9)))</f>
        <v/>
      </c>
      <c r="K500" s="8">
        <f>IF(A500="","",IF(E500="",1E+99,J500-SUMIFS($F$2:F500,$E$2:E500,E500)))</f>
        <v/>
      </c>
      <c r="L500" s="5">
        <f>IF(A500="","",IF(OR(H500&lt;0,I500&lt;0,K500&lt;0),"UNMOEGLICH","OK"))</f>
        <v/>
      </c>
    </row>
    <row r="501">
      <c r="A501" s="7">
        <f>IF(ROW()-1&lt;=Eingabe!$B$4-Eingabe!$B$3+1,Eingabe!$B$3+ROW()-2,"")</f>
        <v/>
      </c>
      <c r="B501" s="5">
        <f>IF(A501="","",TEXT(A501,"yyyy-mm-dd"))</f>
        <v/>
      </c>
      <c r="C501" s="5">
        <f>IF(A501="","",TEXT(A501,"ddd"))</f>
        <v/>
      </c>
      <c r="D501" s="5">
        <f>IF(A501="","",TEXT(A501,"yyyy-mm"))</f>
        <v/>
      </c>
      <c r="E501" s="5">
        <f>IF(A501="","",IF(A501&lt;Eingabe!$B$5,"",INT((A501-Eingabe!$B$5)/(Eingabe!$B$6*7))+1))</f>
        <v/>
      </c>
      <c r="F501" s="8">
        <f>IF(A501="","",SUMPRODUCT((Eingabe!$B$16:$B$165&lt;&gt;"")*(Eingabe!$J$16:$J$165)*--(A501&gt;=Eingabe!$G$16:$G$165)*--(A501&lt;=Eingabe!$H$16:$H$165)*--(WEEKDAY(A501,2)&lt;=5)))</f>
        <v/>
      </c>
      <c r="G501" s="8">
        <f>IF(A501="","",SUM($F$2:F501))</f>
        <v/>
      </c>
      <c r="H501" s="8">
        <f>IF(A501="","",Eingabe!$B$7-G501)</f>
        <v/>
      </c>
      <c r="I501" s="8">
        <f>IF(A501="","",Eingabe!$B$8-SUMIFS($F$2:F501,$D$2:D501,D501))</f>
        <v/>
      </c>
      <c r="J501" s="8">
        <f>IF(A501="","",IF(E501="",1E+99,IFERROR(VLOOKUP(E501,Eingabe!$D$5:$E$44,2,FALSE),Eingabe!$B$9)))</f>
        <v/>
      </c>
      <c r="K501" s="8">
        <f>IF(A501="","",IF(E501="",1E+99,J501-SUMIFS($F$2:F501,$E$2:E501,E501)))</f>
        <v/>
      </c>
      <c r="L501" s="5">
        <f>IF(A501="","",IF(OR(H501&lt;0,I501&lt;0,K501&lt;0),"UNMOEGLICH","OK"))</f>
        <v/>
      </c>
    </row>
    <row r="502">
      <c r="A502" s="7">
        <f>IF(ROW()-1&lt;=Eingabe!$B$4-Eingabe!$B$3+1,Eingabe!$B$3+ROW()-2,"")</f>
        <v/>
      </c>
      <c r="B502" s="5">
        <f>IF(A502="","",TEXT(A502,"yyyy-mm-dd"))</f>
        <v/>
      </c>
      <c r="C502" s="5">
        <f>IF(A502="","",TEXT(A502,"ddd"))</f>
        <v/>
      </c>
      <c r="D502" s="5">
        <f>IF(A502="","",TEXT(A502,"yyyy-mm"))</f>
        <v/>
      </c>
      <c r="E502" s="5">
        <f>IF(A502="","",IF(A502&lt;Eingabe!$B$5,"",INT((A502-Eingabe!$B$5)/(Eingabe!$B$6*7))+1))</f>
        <v/>
      </c>
      <c r="F502" s="8">
        <f>IF(A502="","",SUMPRODUCT((Eingabe!$B$16:$B$165&lt;&gt;"")*(Eingabe!$J$16:$J$165)*--(A502&gt;=Eingabe!$G$16:$G$165)*--(A502&lt;=Eingabe!$H$16:$H$165)*--(WEEKDAY(A502,2)&lt;=5)))</f>
        <v/>
      </c>
      <c r="G502" s="8">
        <f>IF(A502="","",SUM($F$2:F502))</f>
        <v/>
      </c>
      <c r="H502" s="8">
        <f>IF(A502="","",Eingabe!$B$7-G502)</f>
        <v/>
      </c>
      <c r="I502" s="8">
        <f>IF(A502="","",Eingabe!$B$8-SUMIFS($F$2:F502,$D$2:D502,D502))</f>
        <v/>
      </c>
      <c r="J502" s="8">
        <f>IF(A502="","",IF(E502="",1E+99,IFERROR(VLOOKUP(E502,Eingabe!$D$5:$E$44,2,FALSE),Eingabe!$B$9)))</f>
        <v/>
      </c>
      <c r="K502" s="8">
        <f>IF(A502="","",IF(E502="",1E+99,J502-SUMIFS($F$2:F502,$E$2:E502,E502)))</f>
        <v/>
      </c>
      <c r="L502" s="5">
        <f>IF(A502="","",IF(OR(H502&lt;0,I502&lt;0,K502&lt;0),"UNMOEGLICH","OK"))</f>
        <v/>
      </c>
    </row>
    <row r="503">
      <c r="A503" s="7">
        <f>IF(ROW()-1&lt;=Eingabe!$B$4-Eingabe!$B$3+1,Eingabe!$B$3+ROW()-2,"")</f>
        <v/>
      </c>
      <c r="B503" s="5">
        <f>IF(A503="","",TEXT(A503,"yyyy-mm-dd"))</f>
        <v/>
      </c>
      <c r="C503" s="5">
        <f>IF(A503="","",TEXT(A503,"ddd"))</f>
        <v/>
      </c>
      <c r="D503" s="5">
        <f>IF(A503="","",TEXT(A503,"yyyy-mm"))</f>
        <v/>
      </c>
      <c r="E503" s="5">
        <f>IF(A503="","",IF(A503&lt;Eingabe!$B$5,"",INT((A503-Eingabe!$B$5)/(Eingabe!$B$6*7))+1))</f>
        <v/>
      </c>
      <c r="F503" s="8">
        <f>IF(A503="","",SUMPRODUCT((Eingabe!$B$16:$B$165&lt;&gt;"")*(Eingabe!$J$16:$J$165)*--(A503&gt;=Eingabe!$G$16:$G$165)*--(A503&lt;=Eingabe!$H$16:$H$165)*--(WEEKDAY(A503,2)&lt;=5)))</f>
        <v/>
      </c>
      <c r="G503" s="8">
        <f>IF(A503="","",SUM($F$2:F503))</f>
        <v/>
      </c>
      <c r="H503" s="8">
        <f>IF(A503="","",Eingabe!$B$7-G503)</f>
        <v/>
      </c>
      <c r="I503" s="8">
        <f>IF(A503="","",Eingabe!$B$8-SUMIFS($F$2:F503,$D$2:D503,D503))</f>
        <v/>
      </c>
      <c r="J503" s="8">
        <f>IF(A503="","",IF(E503="",1E+99,IFERROR(VLOOKUP(E503,Eingabe!$D$5:$E$44,2,FALSE),Eingabe!$B$9)))</f>
        <v/>
      </c>
      <c r="K503" s="8">
        <f>IF(A503="","",IF(E503="",1E+99,J503-SUMIFS($F$2:F503,$E$2:E503,E503)))</f>
        <v/>
      </c>
      <c r="L503" s="5">
        <f>IF(A503="","",IF(OR(H503&lt;0,I503&lt;0,K503&lt;0),"UNMOEGLICH","OK"))</f>
        <v/>
      </c>
    </row>
    <row r="504">
      <c r="A504" s="7">
        <f>IF(ROW()-1&lt;=Eingabe!$B$4-Eingabe!$B$3+1,Eingabe!$B$3+ROW()-2,"")</f>
        <v/>
      </c>
      <c r="B504" s="5">
        <f>IF(A504="","",TEXT(A504,"yyyy-mm-dd"))</f>
        <v/>
      </c>
      <c r="C504" s="5">
        <f>IF(A504="","",TEXT(A504,"ddd"))</f>
        <v/>
      </c>
      <c r="D504" s="5">
        <f>IF(A504="","",TEXT(A504,"yyyy-mm"))</f>
        <v/>
      </c>
      <c r="E504" s="5">
        <f>IF(A504="","",IF(A504&lt;Eingabe!$B$5,"",INT((A504-Eingabe!$B$5)/(Eingabe!$B$6*7))+1))</f>
        <v/>
      </c>
      <c r="F504" s="8">
        <f>IF(A504="","",SUMPRODUCT((Eingabe!$B$16:$B$165&lt;&gt;"")*(Eingabe!$J$16:$J$165)*--(A504&gt;=Eingabe!$G$16:$G$165)*--(A504&lt;=Eingabe!$H$16:$H$165)*--(WEEKDAY(A504,2)&lt;=5)))</f>
        <v/>
      </c>
      <c r="G504" s="8">
        <f>IF(A504="","",SUM($F$2:F504))</f>
        <v/>
      </c>
      <c r="H504" s="8">
        <f>IF(A504="","",Eingabe!$B$7-G504)</f>
        <v/>
      </c>
      <c r="I504" s="8">
        <f>IF(A504="","",Eingabe!$B$8-SUMIFS($F$2:F504,$D$2:D504,D504))</f>
        <v/>
      </c>
      <c r="J504" s="8">
        <f>IF(A504="","",IF(E504="",1E+99,IFERROR(VLOOKUP(E504,Eingabe!$D$5:$E$44,2,FALSE),Eingabe!$B$9)))</f>
        <v/>
      </c>
      <c r="K504" s="8">
        <f>IF(A504="","",IF(E504="",1E+99,J504-SUMIFS($F$2:F504,$E$2:E504,E504)))</f>
        <v/>
      </c>
      <c r="L504" s="5">
        <f>IF(A504="","",IF(OR(H504&lt;0,I504&lt;0,K504&lt;0),"UNMOEGLICH","OK"))</f>
        <v/>
      </c>
    </row>
    <row r="505">
      <c r="A505" s="7">
        <f>IF(ROW()-1&lt;=Eingabe!$B$4-Eingabe!$B$3+1,Eingabe!$B$3+ROW()-2,"")</f>
        <v/>
      </c>
      <c r="B505" s="5">
        <f>IF(A505="","",TEXT(A505,"yyyy-mm-dd"))</f>
        <v/>
      </c>
      <c r="C505" s="5">
        <f>IF(A505="","",TEXT(A505,"ddd"))</f>
        <v/>
      </c>
      <c r="D505" s="5">
        <f>IF(A505="","",TEXT(A505,"yyyy-mm"))</f>
        <v/>
      </c>
      <c r="E505" s="5">
        <f>IF(A505="","",IF(A505&lt;Eingabe!$B$5,"",INT((A505-Eingabe!$B$5)/(Eingabe!$B$6*7))+1))</f>
        <v/>
      </c>
      <c r="F505" s="8">
        <f>IF(A505="","",SUMPRODUCT((Eingabe!$B$16:$B$165&lt;&gt;"")*(Eingabe!$J$16:$J$165)*--(A505&gt;=Eingabe!$G$16:$G$165)*--(A505&lt;=Eingabe!$H$16:$H$165)*--(WEEKDAY(A505,2)&lt;=5)))</f>
        <v/>
      </c>
      <c r="G505" s="8">
        <f>IF(A505="","",SUM($F$2:F505))</f>
        <v/>
      </c>
      <c r="H505" s="8">
        <f>IF(A505="","",Eingabe!$B$7-G505)</f>
        <v/>
      </c>
      <c r="I505" s="8">
        <f>IF(A505="","",Eingabe!$B$8-SUMIFS($F$2:F505,$D$2:D505,D505))</f>
        <v/>
      </c>
      <c r="J505" s="8">
        <f>IF(A505="","",IF(E505="",1E+99,IFERROR(VLOOKUP(E505,Eingabe!$D$5:$E$44,2,FALSE),Eingabe!$B$9)))</f>
        <v/>
      </c>
      <c r="K505" s="8">
        <f>IF(A505="","",IF(E505="",1E+99,J505-SUMIFS($F$2:F505,$E$2:E505,E505)))</f>
        <v/>
      </c>
      <c r="L505" s="5">
        <f>IF(A505="","",IF(OR(H505&lt;0,I505&lt;0,K505&lt;0),"UNMOEGLICH","OK"))</f>
        <v/>
      </c>
    </row>
    <row r="506">
      <c r="A506" s="7">
        <f>IF(ROW()-1&lt;=Eingabe!$B$4-Eingabe!$B$3+1,Eingabe!$B$3+ROW()-2,"")</f>
        <v/>
      </c>
      <c r="B506" s="5">
        <f>IF(A506="","",TEXT(A506,"yyyy-mm-dd"))</f>
        <v/>
      </c>
      <c r="C506" s="5">
        <f>IF(A506="","",TEXT(A506,"ddd"))</f>
        <v/>
      </c>
      <c r="D506" s="5">
        <f>IF(A506="","",TEXT(A506,"yyyy-mm"))</f>
        <v/>
      </c>
      <c r="E506" s="5">
        <f>IF(A506="","",IF(A506&lt;Eingabe!$B$5,"",INT((A506-Eingabe!$B$5)/(Eingabe!$B$6*7))+1))</f>
        <v/>
      </c>
      <c r="F506" s="8">
        <f>IF(A506="","",SUMPRODUCT((Eingabe!$B$16:$B$165&lt;&gt;"")*(Eingabe!$J$16:$J$165)*--(A506&gt;=Eingabe!$G$16:$G$165)*--(A506&lt;=Eingabe!$H$16:$H$165)*--(WEEKDAY(A506,2)&lt;=5)))</f>
        <v/>
      </c>
      <c r="G506" s="8">
        <f>IF(A506="","",SUM($F$2:F506))</f>
        <v/>
      </c>
      <c r="H506" s="8">
        <f>IF(A506="","",Eingabe!$B$7-G506)</f>
        <v/>
      </c>
      <c r="I506" s="8">
        <f>IF(A506="","",Eingabe!$B$8-SUMIFS($F$2:F506,$D$2:D506,D506))</f>
        <v/>
      </c>
      <c r="J506" s="8">
        <f>IF(A506="","",IF(E506="",1E+99,IFERROR(VLOOKUP(E506,Eingabe!$D$5:$E$44,2,FALSE),Eingabe!$B$9)))</f>
        <v/>
      </c>
      <c r="K506" s="8">
        <f>IF(A506="","",IF(E506="",1E+99,J506-SUMIFS($F$2:F506,$E$2:E506,E506)))</f>
        <v/>
      </c>
      <c r="L506" s="5">
        <f>IF(A506="","",IF(OR(H506&lt;0,I506&lt;0,K506&lt;0),"UNMOEGLICH","OK"))</f>
        <v/>
      </c>
    </row>
    <row r="507">
      <c r="A507" s="7">
        <f>IF(ROW()-1&lt;=Eingabe!$B$4-Eingabe!$B$3+1,Eingabe!$B$3+ROW()-2,"")</f>
        <v/>
      </c>
      <c r="B507" s="5">
        <f>IF(A507="","",TEXT(A507,"yyyy-mm-dd"))</f>
        <v/>
      </c>
      <c r="C507" s="5">
        <f>IF(A507="","",TEXT(A507,"ddd"))</f>
        <v/>
      </c>
      <c r="D507" s="5">
        <f>IF(A507="","",TEXT(A507,"yyyy-mm"))</f>
        <v/>
      </c>
      <c r="E507" s="5">
        <f>IF(A507="","",IF(A507&lt;Eingabe!$B$5,"",INT((A507-Eingabe!$B$5)/(Eingabe!$B$6*7))+1))</f>
        <v/>
      </c>
      <c r="F507" s="8">
        <f>IF(A507="","",SUMPRODUCT((Eingabe!$B$16:$B$165&lt;&gt;"")*(Eingabe!$J$16:$J$165)*--(A507&gt;=Eingabe!$G$16:$G$165)*--(A507&lt;=Eingabe!$H$16:$H$165)*--(WEEKDAY(A507,2)&lt;=5)))</f>
        <v/>
      </c>
      <c r="G507" s="8">
        <f>IF(A507="","",SUM($F$2:F507))</f>
        <v/>
      </c>
      <c r="H507" s="8">
        <f>IF(A507="","",Eingabe!$B$7-G507)</f>
        <v/>
      </c>
      <c r="I507" s="8">
        <f>IF(A507="","",Eingabe!$B$8-SUMIFS($F$2:F507,$D$2:D507,D507))</f>
        <v/>
      </c>
      <c r="J507" s="8">
        <f>IF(A507="","",IF(E507="",1E+99,IFERROR(VLOOKUP(E507,Eingabe!$D$5:$E$44,2,FALSE),Eingabe!$B$9)))</f>
        <v/>
      </c>
      <c r="K507" s="8">
        <f>IF(A507="","",IF(E507="",1E+99,J507-SUMIFS($F$2:F507,$E$2:E507,E507)))</f>
        <v/>
      </c>
      <c r="L507" s="5">
        <f>IF(A507="","",IF(OR(H507&lt;0,I507&lt;0,K507&lt;0),"UNMOEGLICH","OK"))</f>
        <v/>
      </c>
    </row>
    <row r="508">
      <c r="A508" s="7">
        <f>IF(ROW()-1&lt;=Eingabe!$B$4-Eingabe!$B$3+1,Eingabe!$B$3+ROW()-2,"")</f>
        <v/>
      </c>
      <c r="B508" s="5">
        <f>IF(A508="","",TEXT(A508,"yyyy-mm-dd"))</f>
        <v/>
      </c>
      <c r="C508" s="5">
        <f>IF(A508="","",TEXT(A508,"ddd"))</f>
        <v/>
      </c>
      <c r="D508" s="5">
        <f>IF(A508="","",TEXT(A508,"yyyy-mm"))</f>
        <v/>
      </c>
      <c r="E508" s="5">
        <f>IF(A508="","",IF(A508&lt;Eingabe!$B$5,"",INT((A508-Eingabe!$B$5)/(Eingabe!$B$6*7))+1))</f>
        <v/>
      </c>
      <c r="F508" s="8">
        <f>IF(A508="","",SUMPRODUCT((Eingabe!$B$16:$B$165&lt;&gt;"")*(Eingabe!$J$16:$J$165)*--(A508&gt;=Eingabe!$G$16:$G$165)*--(A508&lt;=Eingabe!$H$16:$H$165)*--(WEEKDAY(A508,2)&lt;=5)))</f>
        <v/>
      </c>
      <c r="G508" s="8">
        <f>IF(A508="","",SUM($F$2:F508))</f>
        <v/>
      </c>
      <c r="H508" s="8">
        <f>IF(A508="","",Eingabe!$B$7-G508)</f>
        <v/>
      </c>
      <c r="I508" s="8">
        <f>IF(A508="","",Eingabe!$B$8-SUMIFS($F$2:F508,$D$2:D508,D508))</f>
        <v/>
      </c>
      <c r="J508" s="8">
        <f>IF(A508="","",IF(E508="",1E+99,IFERROR(VLOOKUP(E508,Eingabe!$D$5:$E$44,2,FALSE),Eingabe!$B$9)))</f>
        <v/>
      </c>
      <c r="K508" s="8">
        <f>IF(A508="","",IF(E508="",1E+99,J508-SUMIFS($F$2:F508,$E$2:E508,E508)))</f>
        <v/>
      </c>
      <c r="L508" s="5">
        <f>IF(A508="","",IF(OR(H508&lt;0,I508&lt;0,K508&lt;0),"UNMOEGLICH","OK"))</f>
        <v/>
      </c>
    </row>
    <row r="509">
      <c r="A509" s="7">
        <f>IF(ROW()-1&lt;=Eingabe!$B$4-Eingabe!$B$3+1,Eingabe!$B$3+ROW()-2,"")</f>
        <v/>
      </c>
      <c r="B509" s="5">
        <f>IF(A509="","",TEXT(A509,"yyyy-mm-dd"))</f>
        <v/>
      </c>
      <c r="C509" s="5">
        <f>IF(A509="","",TEXT(A509,"ddd"))</f>
        <v/>
      </c>
      <c r="D509" s="5">
        <f>IF(A509="","",TEXT(A509,"yyyy-mm"))</f>
        <v/>
      </c>
      <c r="E509" s="5">
        <f>IF(A509="","",IF(A509&lt;Eingabe!$B$5,"",INT((A509-Eingabe!$B$5)/(Eingabe!$B$6*7))+1))</f>
        <v/>
      </c>
      <c r="F509" s="8">
        <f>IF(A509="","",SUMPRODUCT((Eingabe!$B$16:$B$165&lt;&gt;"")*(Eingabe!$J$16:$J$165)*--(A509&gt;=Eingabe!$G$16:$G$165)*--(A509&lt;=Eingabe!$H$16:$H$165)*--(WEEKDAY(A509,2)&lt;=5)))</f>
        <v/>
      </c>
      <c r="G509" s="8">
        <f>IF(A509="","",SUM($F$2:F509))</f>
        <v/>
      </c>
      <c r="H509" s="8">
        <f>IF(A509="","",Eingabe!$B$7-G509)</f>
        <v/>
      </c>
      <c r="I509" s="8">
        <f>IF(A509="","",Eingabe!$B$8-SUMIFS($F$2:F509,$D$2:D509,D509))</f>
        <v/>
      </c>
      <c r="J509" s="8">
        <f>IF(A509="","",IF(E509="",1E+99,IFERROR(VLOOKUP(E509,Eingabe!$D$5:$E$44,2,FALSE),Eingabe!$B$9)))</f>
        <v/>
      </c>
      <c r="K509" s="8">
        <f>IF(A509="","",IF(E509="",1E+99,J509-SUMIFS($F$2:F509,$E$2:E509,E509)))</f>
        <v/>
      </c>
      <c r="L509" s="5">
        <f>IF(A509="","",IF(OR(H509&lt;0,I509&lt;0,K509&lt;0),"UNMOEGLICH","OK"))</f>
        <v/>
      </c>
    </row>
    <row r="510">
      <c r="A510" s="7">
        <f>IF(ROW()-1&lt;=Eingabe!$B$4-Eingabe!$B$3+1,Eingabe!$B$3+ROW()-2,"")</f>
        <v/>
      </c>
      <c r="B510" s="5">
        <f>IF(A510="","",TEXT(A510,"yyyy-mm-dd"))</f>
        <v/>
      </c>
      <c r="C510" s="5">
        <f>IF(A510="","",TEXT(A510,"ddd"))</f>
        <v/>
      </c>
      <c r="D510" s="5">
        <f>IF(A510="","",TEXT(A510,"yyyy-mm"))</f>
        <v/>
      </c>
      <c r="E510" s="5">
        <f>IF(A510="","",IF(A510&lt;Eingabe!$B$5,"",INT((A510-Eingabe!$B$5)/(Eingabe!$B$6*7))+1))</f>
        <v/>
      </c>
      <c r="F510" s="8">
        <f>IF(A510="","",SUMPRODUCT((Eingabe!$B$16:$B$165&lt;&gt;"")*(Eingabe!$J$16:$J$165)*--(A510&gt;=Eingabe!$G$16:$G$165)*--(A510&lt;=Eingabe!$H$16:$H$165)*--(WEEKDAY(A510,2)&lt;=5)))</f>
        <v/>
      </c>
      <c r="G510" s="8">
        <f>IF(A510="","",SUM($F$2:F510))</f>
        <v/>
      </c>
      <c r="H510" s="8">
        <f>IF(A510="","",Eingabe!$B$7-G510)</f>
        <v/>
      </c>
      <c r="I510" s="8">
        <f>IF(A510="","",Eingabe!$B$8-SUMIFS($F$2:F510,$D$2:D510,D510))</f>
        <v/>
      </c>
      <c r="J510" s="8">
        <f>IF(A510="","",IF(E510="",1E+99,IFERROR(VLOOKUP(E510,Eingabe!$D$5:$E$44,2,FALSE),Eingabe!$B$9)))</f>
        <v/>
      </c>
      <c r="K510" s="8">
        <f>IF(A510="","",IF(E510="",1E+99,J510-SUMIFS($F$2:F510,$E$2:E510,E510)))</f>
        <v/>
      </c>
      <c r="L510" s="5">
        <f>IF(A510="","",IF(OR(H510&lt;0,I510&lt;0,K510&lt;0),"UNMOEGLICH","OK"))</f>
        <v/>
      </c>
    </row>
    <row r="511">
      <c r="A511" s="7">
        <f>IF(ROW()-1&lt;=Eingabe!$B$4-Eingabe!$B$3+1,Eingabe!$B$3+ROW()-2,"")</f>
        <v/>
      </c>
      <c r="B511" s="5">
        <f>IF(A511="","",TEXT(A511,"yyyy-mm-dd"))</f>
        <v/>
      </c>
      <c r="C511" s="5">
        <f>IF(A511="","",TEXT(A511,"ddd"))</f>
        <v/>
      </c>
      <c r="D511" s="5">
        <f>IF(A511="","",TEXT(A511,"yyyy-mm"))</f>
        <v/>
      </c>
      <c r="E511" s="5">
        <f>IF(A511="","",IF(A511&lt;Eingabe!$B$5,"",INT((A511-Eingabe!$B$5)/(Eingabe!$B$6*7))+1))</f>
        <v/>
      </c>
      <c r="F511" s="8">
        <f>IF(A511="","",SUMPRODUCT((Eingabe!$B$16:$B$165&lt;&gt;"")*(Eingabe!$J$16:$J$165)*--(A511&gt;=Eingabe!$G$16:$G$165)*--(A511&lt;=Eingabe!$H$16:$H$165)*--(WEEKDAY(A511,2)&lt;=5)))</f>
        <v/>
      </c>
      <c r="G511" s="8">
        <f>IF(A511="","",SUM($F$2:F511))</f>
        <v/>
      </c>
      <c r="H511" s="8">
        <f>IF(A511="","",Eingabe!$B$7-G511)</f>
        <v/>
      </c>
      <c r="I511" s="8">
        <f>IF(A511="","",Eingabe!$B$8-SUMIFS($F$2:F511,$D$2:D511,D511))</f>
        <v/>
      </c>
      <c r="J511" s="8">
        <f>IF(A511="","",IF(E511="",1E+99,IFERROR(VLOOKUP(E511,Eingabe!$D$5:$E$44,2,FALSE),Eingabe!$B$9)))</f>
        <v/>
      </c>
      <c r="K511" s="8">
        <f>IF(A511="","",IF(E511="",1E+99,J511-SUMIFS($F$2:F511,$E$2:E511,E511)))</f>
        <v/>
      </c>
      <c r="L511" s="5">
        <f>IF(A511="","",IF(OR(H511&lt;0,I511&lt;0,K511&lt;0),"UNMOEGLICH","OK"))</f>
        <v/>
      </c>
    </row>
    <row r="512">
      <c r="A512" s="7">
        <f>IF(ROW()-1&lt;=Eingabe!$B$4-Eingabe!$B$3+1,Eingabe!$B$3+ROW()-2,"")</f>
        <v/>
      </c>
      <c r="B512" s="5">
        <f>IF(A512="","",TEXT(A512,"yyyy-mm-dd"))</f>
        <v/>
      </c>
      <c r="C512" s="5">
        <f>IF(A512="","",TEXT(A512,"ddd"))</f>
        <v/>
      </c>
      <c r="D512" s="5">
        <f>IF(A512="","",TEXT(A512,"yyyy-mm"))</f>
        <v/>
      </c>
      <c r="E512" s="5">
        <f>IF(A512="","",IF(A512&lt;Eingabe!$B$5,"",INT((A512-Eingabe!$B$5)/(Eingabe!$B$6*7))+1))</f>
        <v/>
      </c>
      <c r="F512" s="8">
        <f>IF(A512="","",SUMPRODUCT((Eingabe!$B$16:$B$165&lt;&gt;"")*(Eingabe!$J$16:$J$165)*--(A512&gt;=Eingabe!$G$16:$G$165)*--(A512&lt;=Eingabe!$H$16:$H$165)*--(WEEKDAY(A512,2)&lt;=5)))</f>
        <v/>
      </c>
      <c r="G512" s="8">
        <f>IF(A512="","",SUM($F$2:F512))</f>
        <v/>
      </c>
      <c r="H512" s="8">
        <f>IF(A512="","",Eingabe!$B$7-G512)</f>
        <v/>
      </c>
      <c r="I512" s="8">
        <f>IF(A512="","",Eingabe!$B$8-SUMIFS($F$2:F512,$D$2:D512,D512))</f>
        <v/>
      </c>
      <c r="J512" s="8">
        <f>IF(A512="","",IF(E512="",1E+99,IFERROR(VLOOKUP(E512,Eingabe!$D$5:$E$44,2,FALSE),Eingabe!$B$9)))</f>
        <v/>
      </c>
      <c r="K512" s="8">
        <f>IF(A512="","",IF(E512="",1E+99,J512-SUMIFS($F$2:F512,$E$2:E512,E512)))</f>
        <v/>
      </c>
      <c r="L512" s="5">
        <f>IF(A512="","",IF(OR(H512&lt;0,I512&lt;0,K512&lt;0),"UNMOEGLICH","OK"))</f>
        <v/>
      </c>
    </row>
    <row r="513">
      <c r="A513" s="7">
        <f>IF(ROW()-1&lt;=Eingabe!$B$4-Eingabe!$B$3+1,Eingabe!$B$3+ROW()-2,"")</f>
        <v/>
      </c>
      <c r="B513" s="5">
        <f>IF(A513="","",TEXT(A513,"yyyy-mm-dd"))</f>
        <v/>
      </c>
      <c r="C513" s="5">
        <f>IF(A513="","",TEXT(A513,"ddd"))</f>
        <v/>
      </c>
      <c r="D513" s="5">
        <f>IF(A513="","",TEXT(A513,"yyyy-mm"))</f>
        <v/>
      </c>
      <c r="E513" s="5">
        <f>IF(A513="","",IF(A513&lt;Eingabe!$B$5,"",INT((A513-Eingabe!$B$5)/(Eingabe!$B$6*7))+1))</f>
        <v/>
      </c>
      <c r="F513" s="8">
        <f>IF(A513="","",SUMPRODUCT((Eingabe!$B$16:$B$165&lt;&gt;"")*(Eingabe!$J$16:$J$165)*--(A513&gt;=Eingabe!$G$16:$G$165)*--(A513&lt;=Eingabe!$H$16:$H$165)*--(WEEKDAY(A513,2)&lt;=5)))</f>
        <v/>
      </c>
      <c r="G513" s="8">
        <f>IF(A513="","",SUM($F$2:F513))</f>
        <v/>
      </c>
      <c r="H513" s="8">
        <f>IF(A513="","",Eingabe!$B$7-G513)</f>
        <v/>
      </c>
      <c r="I513" s="8">
        <f>IF(A513="","",Eingabe!$B$8-SUMIFS($F$2:F513,$D$2:D513,D513))</f>
        <v/>
      </c>
      <c r="J513" s="8">
        <f>IF(A513="","",IF(E513="",1E+99,IFERROR(VLOOKUP(E513,Eingabe!$D$5:$E$44,2,FALSE),Eingabe!$B$9)))</f>
        <v/>
      </c>
      <c r="K513" s="8">
        <f>IF(A513="","",IF(E513="",1E+99,J513-SUMIFS($F$2:F513,$E$2:E513,E513)))</f>
        <v/>
      </c>
      <c r="L513" s="5">
        <f>IF(A513="","",IF(OR(H513&lt;0,I513&lt;0,K513&lt;0),"UNMOEGLICH","OK"))</f>
        <v/>
      </c>
    </row>
    <row r="514">
      <c r="A514" s="7">
        <f>IF(ROW()-1&lt;=Eingabe!$B$4-Eingabe!$B$3+1,Eingabe!$B$3+ROW()-2,"")</f>
        <v/>
      </c>
      <c r="B514" s="5">
        <f>IF(A514="","",TEXT(A514,"yyyy-mm-dd"))</f>
        <v/>
      </c>
      <c r="C514" s="5">
        <f>IF(A514="","",TEXT(A514,"ddd"))</f>
        <v/>
      </c>
      <c r="D514" s="5">
        <f>IF(A514="","",TEXT(A514,"yyyy-mm"))</f>
        <v/>
      </c>
      <c r="E514" s="5">
        <f>IF(A514="","",IF(A514&lt;Eingabe!$B$5,"",INT((A514-Eingabe!$B$5)/(Eingabe!$B$6*7))+1))</f>
        <v/>
      </c>
      <c r="F514" s="8">
        <f>IF(A514="","",SUMPRODUCT((Eingabe!$B$16:$B$165&lt;&gt;"")*(Eingabe!$J$16:$J$165)*--(A514&gt;=Eingabe!$G$16:$G$165)*--(A514&lt;=Eingabe!$H$16:$H$165)*--(WEEKDAY(A514,2)&lt;=5)))</f>
        <v/>
      </c>
      <c r="G514" s="8">
        <f>IF(A514="","",SUM($F$2:F514))</f>
        <v/>
      </c>
      <c r="H514" s="8">
        <f>IF(A514="","",Eingabe!$B$7-G514)</f>
        <v/>
      </c>
      <c r="I514" s="8">
        <f>IF(A514="","",Eingabe!$B$8-SUMIFS($F$2:F514,$D$2:D514,D514))</f>
        <v/>
      </c>
      <c r="J514" s="8">
        <f>IF(A514="","",IF(E514="",1E+99,IFERROR(VLOOKUP(E514,Eingabe!$D$5:$E$44,2,FALSE),Eingabe!$B$9)))</f>
        <v/>
      </c>
      <c r="K514" s="8">
        <f>IF(A514="","",IF(E514="",1E+99,J514-SUMIFS($F$2:F514,$E$2:E514,E514)))</f>
        <v/>
      </c>
      <c r="L514" s="5">
        <f>IF(A514="","",IF(OR(H514&lt;0,I514&lt;0,K514&lt;0),"UNMOEGLICH","OK"))</f>
        <v/>
      </c>
    </row>
    <row r="515">
      <c r="A515" s="7">
        <f>IF(ROW()-1&lt;=Eingabe!$B$4-Eingabe!$B$3+1,Eingabe!$B$3+ROW()-2,"")</f>
        <v/>
      </c>
      <c r="B515" s="5">
        <f>IF(A515="","",TEXT(A515,"yyyy-mm-dd"))</f>
        <v/>
      </c>
      <c r="C515" s="5">
        <f>IF(A515="","",TEXT(A515,"ddd"))</f>
        <v/>
      </c>
      <c r="D515" s="5">
        <f>IF(A515="","",TEXT(A515,"yyyy-mm"))</f>
        <v/>
      </c>
      <c r="E515" s="5">
        <f>IF(A515="","",IF(A515&lt;Eingabe!$B$5,"",INT((A515-Eingabe!$B$5)/(Eingabe!$B$6*7))+1))</f>
        <v/>
      </c>
      <c r="F515" s="8">
        <f>IF(A515="","",SUMPRODUCT((Eingabe!$B$16:$B$165&lt;&gt;"")*(Eingabe!$J$16:$J$165)*--(A515&gt;=Eingabe!$G$16:$G$165)*--(A515&lt;=Eingabe!$H$16:$H$165)*--(WEEKDAY(A515,2)&lt;=5)))</f>
        <v/>
      </c>
      <c r="G515" s="8">
        <f>IF(A515="","",SUM($F$2:F515))</f>
        <v/>
      </c>
      <c r="H515" s="8">
        <f>IF(A515="","",Eingabe!$B$7-G515)</f>
        <v/>
      </c>
      <c r="I515" s="8">
        <f>IF(A515="","",Eingabe!$B$8-SUMIFS($F$2:F515,$D$2:D515,D515))</f>
        <v/>
      </c>
      <c r="J515" s="8">
        <f>IF(A515="","",IF(E515="",1E+99,IFERROR(VLOOKUP(E515,Eingabe!$D$5:$E$44,2,FALSE),Eingabe!$B$9)))</f>
        <v/>
      </c>
      <c r="K515" s="8">
        <f>IF(A515="","",IF(E515="",1E+99,J515-SUMIFS($F$2:F515,$E$2:E515,E515)))</f>
        <v/>
      </c>
      <c r="L515" s="5">
        <f>IF(A515="","",IF(OR(H515&lt;0,I515&lt;0,K515&lt;0),"UNMOEGLICH","OK"))</f>
        <v/>
      </c>
    </row>
    <row r="516">
      <c r="A516" s="7">
        <f>IF(ROW()-1&lt;=Eingabe!$B$4-Eingabe!$B$3+1,Eingabe!$B$3+ROW()-2,"")</f>
        <v/>
      </c>
      <c r="B516" s="5">
        <f>IF(A516="","",TEXT(A516,"yyyy-mm-dd"))</f>
        <v/>
      </c>
      <c r="C516" s="5">
        <f>IF(A516="","",TEXT(A516,"ddd"))</f>
        <v/>
      </c>
      <c r="D516" s="5">
        <f>IF(A516="","",TEXT(A516,"yyyy-mm"))</f>
        <v/>
      </c>
      <c r="E516" s="5">
        <f>IF(A516="","",IF(A516&lt;Eingabe!$B$5,"",INT((A516-Eingabe!$B$5)/(Eingabe!$B$6*7))+1))</f>
        <v/>
      </c>
      <c r="F516" s="8">
        <f>IF(A516="","",SUMPRODUCT((Eingabe!$B$16:$B$165&lt;&gt;"")*(Eingabe!$J$16:$J$165)*--(A516&gt;=Eingabe!$G$16:$G$165)*--(A516&lt;=Eingabe!$H$16:$H$165)*--(WEEKDAY(A516,2)&lt;=5)))</f>
        <v/>
      </c>
      <c r="G516" s="8">
        <f>IF(A516="","",SUM($F$2:F516))</f>
        <v/>
      </c>
      <c r="H516" s="8">
        <f>IF(A516="","",Eingabe!$B$7-G516)</f>
        <v/>
      </c>
      <c r="I516" s="8">
        <f>IF(A516="","",Eingabe!$B$8-SUMIFS($F$2:F516,$D$2:D516,D516))</f>
        <v/>
      </c>
      <c r="J516" s="8">
        <f>IF(A516="","",IF(E516="",1E+99,IFERROR(VLOOKUP(E516,Eingabe!$D$5:$E$44,2,FALSE),Eingabe!$B$9)))</f>
        <v/>
      </c>
      <c r="K516" s="8">
        <f>IF(A516="","",IF(E516="",1E+99,J516-SUMIFS($F$2:F516,$E$2:E516,E516)))</f>
        <v/>
      </c>
      <c r="L516" s="5">
        <f>IF(A516="","",IF(OR(H516&lt;0,I516&lt;0,K516&lt;0),"UNMOEGLICH","OK"))</f>
        <v/>
      </c>
    </row>
    <row r="517">
      <c r="A517" s="7">
        <f>IF(ROW()-1&lt;=Eingabe!$B$4-Eingabe!$B$3+1,Eingabe!$B$3+ROW()-2,"")</f>
        <v/>
      </c>
      <c r="B517" s="5">
        <f>IF(A517="","",TEXT(A517,"yyyy-mm-dd"))</f>
        <v/>
      </c>
      <c r="C517" s="5">
        <f>IF(A517="","",TEXT(A517,"ddd"))</f>
        <v/>
      </c>
      <c r="D517" s="5">
        <f>IF(A517="","",TEXT(A517,"yyyy-mm"))</f>
        <v/>
      </c>
      <c r="E517" s="5">
        <f>IF(A517="","",IF(A517&lt;Eingabe!$B$5,"",INT((A517-Eingabe!$B$5)/(Eingabe!$B$6*7))+1))</f>
        <v/>
      </c>
      <c r="F517" s="8">
        <f>IF(A517="","",SUMPRODUCT((Eingabe!$B$16:$B$165&lt;&gt;"")*(Eingabe!$J$16:$J$165)*--(A517&gt;=Eingabe!$G$16:$G$165)*--(A517&lt;=Eingabe!$H$16:$H$165)*--(WEEKDAY(A517,2)&lt;=5)))</f>
        <v/>
      </c>
      <c r="G517" s="8">
        <f>IF(A517="","",SUM($F$2:F517))</f>
        <v/>
      </c>
      <c r="H517" s="8">
        <f>IF(A517="","",Eingabe!$B$7-G517)</f>
        <v/>
      </c>
      <c r="I517" s="8">
        <f>IF(A517="","",Eingabe!$B$8-SUMIFS($F$2:F517,$D$2:D517,D517))</f>
        <v/>
      </c>
      <c r="J517" s="8">
        <f>IF(A517="","",IF(E517="",1E+99,IFERROR(VLOOKUP(E517,Eingabe!$D$5:$E$44,2,FALSE),Eingabe!$B$9)))</f>
        <v/>
      </c>
      <c r="K517" s="8">
        <f>IF(A517="","",IF(E517="",1E+99,J517-SUMIFS($F$2:F517,$E$2:E517,E517)))</f>
        <v/>
      </c>
      <c r="L517" s="5">
        <f>IF(A517="","",IF(OR(H517&lt;0,I517&lt;0,K517&lt;0),"UNMOEGLICH","OK"))</f>
        <v/>
      </c>
    </row>
    <row r="518">
      <c r="A518" s="7">
        <f>IF(ROW()-1&lt;=Eingabe!$B$4-Eingabe!$B$3+1,Eingabe!$B$3+ROW()-2,"")</f>
        <v/>
      </c>
      <c r="B518" s="5">
        <f>IF(A518="","",TEXT(A518,"yyyy-mm-dd"))</f>
        <v/>
      </c>
      <c r="C518" s="5">
        <f>IF(A518="","",TEXT(A518,"ddd"))</f>
        <v/>
      </c>
      <c r="D518" s="5">
        <f>IF(A518="","",TEXT(A518,"yyyy-mm"))</f>
        <v/>
      </c>
      <c r="E518" s="5">
        <f>IF(A518="","",IF(A518&lt;Eingabe!$B$5,"",INT((A518-Eingabe!$B$5)/(Eingabe!$B$6*7))+1))</f>
        <v/>
      </c>
      <c r="F518" s="8">
        <f>IF(A518="","",SUMPRODUCT((Eingabe!$B$16:$B$165&lt;&gt;"")*(Eingabe!$J$16:$J$165)*--(A518&gt;=Eingabe!$G$16:$G$165)*--(A518&lt;=Eingabe!$H$16:$H$165)*--(WEEKDAY(A518,2)&lt;=5)))</f>
        <v/>
      </c>
      <c r="G518" s="8">
        <f>IF(A518="","",SUM($F$2:F518))</f>
        <v/>
      </c>
      <c r="H518" s="8">
        <f>IF(A518="","",Eingabe!$B$7-G518)</f>
        <v/>
      </c>
      <c r="I518" s="8">
        <f>IF(A518="","",Eingabe!$B$8-SUMIFS($F$2:F518,$D$2:D518,D518))</f>
        <v/>
      </c>
      <c r="J518" s="8">
        <f>IF(A518="","",IF(E518="",1E+99,IFERROR(VLOOKUP(E518,Eingabe!$D$5:$E$44,2,FALSE),Eingabe!$B$9)))</f>
        <v/>
      </c>
      <c r="K518" s="8">
        <f>IF(A518="","",IF(E518="",1E+99,J518-SUMIFS($F$2:F518,$E$2:E518,E518)))</f>
        <v/>
      </c>
      <c r="L518" s="5">
        <f>IF(A518="","",IF(OR(H518&lt;0,I518&lt;0,K518&lt;0),"UNMOEGLICH","OK"))</f>
        <v/>
      </c>
    </row>
    <row r="519">
      <c r="A519" s="7">
        <f>IF(ROW()-1&lt;=Eingabe!$B$4-Eingabe!$B$3+1,Eingabe!$B$3+ROW()-2,"")</f>
        <v/>
      </c>
      <c r="B519" s="5">
        <f>IF(A519="","",TEXT(A519,"yyyy-mm-dd"))</f>
        <v/>
      </c>
      <c r="C519" s="5">
        <f>IF(A519="","",TEXT(A519,"ddd"))</f>
        <v/>
      </c>
      <c r="D519" s="5">
        <f>IF(A519="","",TEXT(A519,"yyyy-mm"))</f>
        <v/>
      </c>
      <c r="E519" s="5">
        <f>IF(A519="","",IF(A519&lt;Eingabe!$B$5,"",INT((A519-Eingabe!$B$5)/(Eingabe!$B$6*7))+1))</f>
        <v/>
      </c>
      <c r="F519" s="8">
        <f>IF(A519="","",SUMPRODUCT((Eingabe!$B$16:$B$165&lt;&gt;"")*(Eingabe!$J$16:$J$165)*--(A519&gt;=Eingabe!$G$16:$G$165)*--(A519&lt;=Eingabe!$H$16:$H$165)*--(WEEKDAY(A519,2)&lt;=5)))</f>
        <v/>
      </c>
      <c r="G519" s="8">
        <f>IF(A519="","",SUM($F$2:F519))</f>
        <v/>
      </c>
      <c r="H519" s="8">
        <f>IF(A519="","",Eingabe!$B$7-G519)</f>
        <v/>
      </c>
      <c r="I519" s="8">
        <f>IF(A519="","",Eingabe!$B$8-SUMIFS($F$2:F519,$D$2:D519,D519))</f>
        <v/>
      </c>
      <c r="J519" s="8">
        <f>IF(A519="","",IF(E519="",1E+99,IFERROR(VLOOKUP(E519,Eingabe!$D$5:$E$44,2,FALSE),Eingabe!$B$9)))</f>
        <v/>
      </c>
      <c r="K519" s="8">
        <f>IF(A519="","",IF(E519="",1E+99,J519-SUMIFS($F$2:F519,$E$2:E519,E519)))</f>
        <v/>
      </c>
      <c r="L519" s="5">
        <f>IF(A519="","",IF(OR(H519&lt;0,I519&lt;0,K519&lt;0),"UNMOEGLICH","OK"))</f>
        <v/>
      </c>
    </row>
    <row r="520">
      <c r="A520" s="7">
        <f>IF(ROW()-1&lt;=Eingabe!$B$4-Eingabe!$B$3+1,Eingabe!$B$3+ROW()-2,"")</f>
        <v/>
      </c>
      <c r="B520" s="5">
        <f>IF(A520="","",TEXT(A520,"yyyy-mm-dd"))</f>
        <v/>
      </c>
      <c r="C520" s="5">
        <f>IF(A520="","",TEXT(A520,"ddd"))</f>
        <v/>
      </c>
      <c r="D520" s="5">
        <f>IF(A520="","",TEXT(A520,"yyyy-mm"))</f>
        <v/>
      </c>
      <c r="E520" s="5">
        <f>IF(A520="","",IF(A520&lt;Eingabe!$B$5,"",INT((A520-Eingabe!$B$5)/(Eingabe!$B$6*7))+1))</f>
        <v/>
      </c>
      <c r="F520" s="8">
        <f>IF(A520="","",SUMPRODUCT((Eingabe!$B$16:$B$165&lt;&gt;"")*(Eingabe!$J$16:$J$165)*--(A520&gt;=Eingabe!$G$16:$G$165)*--(A520&lt;=Eingabe!$H$16:$H$165)*--(WEEKDAY(A520,2)&lt;=5)))</f>
        <v/>
      </c>
      <c r="G520" s="8">
        <f>IF(A520="","",SUM($F$2:F520))</f>
        <v/>
      </c>
      <c r="H520" s="8">
        <f>IF(A520="","",Eingabe!$B$7-G520)</f>
        <v/>
      </c>
      <c r="I520" s="8">
        <f>IF(A520="","",Eingabe!$B$8-SUMIFS($F$2:F520,$D$2:D520,D520))</f>
        <v/>
      </c>
      <c r="J520" s="8">
        <f>IF(A520="","",IF(E520="",1E+99,IFERROR(VLOOKUP(E520,Eingabe!$D$5:$E$44,2,FALSE),Eingabe!$B$9)))</f>
        <v/>
      </c>
      <c r="K520" s="8">
        <f>IF(A520="","",IF(E520="",1E+99,J520-SUMIFS($F$2:F520,$E$2:E520,E520)))</f>
        <v/>
      </c>
      <c r="L520" s="5">
        <f>IF(A520="","",IF(OR(H520&lt;0,I520&lt;0,K520&lt;0),"UNMOEGLICH","OK"))</f>
        <v/>
      </c>
    </row>
    <row r="521">
      <c r="A521" s="7">
        <f>IF(ROW()-1&lt;=Eingabe!$B$4-Eingabe!$B$3+1,Eingabe!$B$3+ROW()-2,"")</f>
        <v/>
      </c>
      <c r="B521" s="5">
        <f>IF(A521="","",TEXT(A521,"yyyy-mm-dd"))</f>
        <v/>
      </c>
      <c r="C521" s="5">
        <f>IF(A521="","",TEXT(A521,"ddd"))</f>
        <v/>
      </c>
      <c r="D521" s="5">
        <f>IF(A521="","",TEXT(A521,"yyyy-mm"))</f>
        <v/>
      </c>
      <c r="E521" s="5">
        <f>IF(A521="","",IF(A521&lt;Eingabe!$B$5,"",INT((A521-Eingabe!$B$5)/(Eingabe!$B$6*7))+1))</f>
        <v/>
      </c>
      <c r="F521" s="8">
        <f>IF(A521="","",SUMPRODUCT((Eingabe!$B$16:$B$165&lt;&gt;"")*(Eingabe!$J$16:$J$165)*--(A521&gt;=Eingabe!$G$16:$G$165)*--(A521&lt;=Eingabe!$H$16:$H$165)*--(WEEKDAY(A521,2)&lt;=5)))</f>
        <v/>
      </c>
      <c r="G521" s="8">
        <f>IF(A521="","",SUM($F$2:F521))</f>
        <v/>
      </c>
      <c r="H521" s="8">
        <f>IF(A521="","",Eingabe!$B$7-G521)</f>
        <v/>
      </c>
      <c r="I521" s="8">
        <f>IF(A521="","",Eingabe!$B$8-SUMIFS($F$2:F521,$D$2:D521,D521))</f>
        <v/>
      </c>
      <c r="J521" s="8">
        <f>IF(A521="","",IF(E521="",1E+99,IFERROR(VLOOKUP(E521,Eingabe!$D$5:$E$44,2,FALSE),Eingabe!$B$9)))</f>
        <v/>
      </c>
      <c r="K521" s="8">
        <f>IF(A521="","",IF(E521="",1E+99,J521-SUMIFS($F$2:F521,$E$2:E521,E521)))</f>
        <v/>
      </c>
      <c r="L521" s="5">
        <f>IF(A521="","",IF(OR(H521&lt;0,I521&lt;0,K521&lt;0),"UNMOEGLICH","OK"))</f>
        <v/>
      </c>
    </row>
    <row r="522">
      <c r="A522" s="7">
        <f>IF(ROW()-1&lt;=Eingabe!$B$4-Eingabe!$B$3+1,Eingabe!$B$3+ROW()-2,"")</f>
        <v/>
      </c>
      <c r="B522" s="5">
        <f>IF(A522="","",TEXT(A522,"yyyy-mm-dd"))</f>
        <v/>
      </c>
      <c r="C522" s="5">
        <f>IF(A522="","",TEXT(A522,"ddd"))</f>
        <v/>
      </c>
      <c r="D522" s="5">
        <f>IF(A522="","",TEXT(A522,"yyyy-mm"))</f>
        <v/>
      </c>
      <c r="E522" s="5">
        <f>IF(A522="","",IF(A522&lt;Eingabe!$B$5,"",INT((A522-Eingabe!$B$5)/(Eingabe!$B$6*7))+1))</f>
        <v/>
      </c>
      <c r="F522" s="8">
        <f>IF(A522="","",SUMPRODUCT((Eingabe!$B$16:$B$165&lt;&gt;"")*(Eingabe!$J$16:$J$165)*--(A522&gt;=Eingabe!$G$16:$G$165)*--(A522&lt;=Eingabe!$H$16:$H$165)*--(WEEKDAY(A522,2)&lt;=5)))</f>
        <v/>
      </c>
      <c r="G522" s="8">
        <f>IF(A522="","",SUM($F$2:F522))</f>
        <v/>
      </c>
      <c r="H522" s="8">
        <f>IF(A522="","",Eingabe!$B$7-G522)</f>
        <v/>
      </c>
      <c r="I522" s="8">
        <f>IF(A522="","",Eingabe!$B$8-SUMIFS($F$2:F522,$D$2:D522,D522))</f>
        <v/>
      </c>
      <c r="J522" s="8">
        <f>IF(A522="","",IF(E522="",1E+99,IFERROR(VLOOKUP(E522,Eingabe!$D$5:$E$44,2,FALSE),Eingabe!$B$9)))</f>
        <v/>
      </c>
      <c r="K522" s="8">
        <f>IF(A522="","",IF(E522="",1E+99,J522-SUMIFS($F$2:F522,$E$2:E522,E522)))</f>
        <v/>
      </c>
      <c r="L522" s="5">
        <f>IF(A522="","",IF(OR(H522&lt;0,I522&lt;0,K522&lt;0),"UNMOEGLICH","OK"))</f>
        <v/>
      </c>
    </row>
    <row r="523">
      <c r="A523" s="7">
        <f>IF(ROW()-1&lt;=Eingabe!$B$4-Eingabe!$B$3+1,Eingabe!$B$3+ROW()-2,"")</f>
        <v/>
      </c>
      <c r="B523" s="5">
        <f>IF(A523="","",TEXT(A523,"yyyy-mm-dd"))</f>
        <v/>
      </c>
      <c r="C523" s="5">
        <f>IF(A523="","",TEXT(A523,"ddd"))</f>
        <v/>
      </c>
      <c r="D523" s="5">
        <f>IF(A523="","",TEXT(A523,"yyyy-mm"))</f>
        <v/>
      </c>
      <c r="E523" s="5">
        <f>IF(A523="","",IF(A523&lt;Eingabe!$B$5,"",INT((A523-Eingabe!$B$5)/(Eingabe!$B$6*7))+1))</f>
        <v/>
      </c>
      <c r="F523" s="8">
        <f>IF(A523="","",SUMPRODUCT((Eingabe!$B$16:$B$165&lt;&gt;"")*(Eingabe!$J$16:$J$165)*--(A523&gt;=Eingabe!$G$16:$G$165)*--(A523&lt;=Eingabe!$H$16:$H$165)*--(WEEKDAY(A523,2)&lt;=5)))</f>
        <v/>
      </c>
      <c r="G523" s="8">
        <f>IF(A523="","",SUM($F$2:F523))</f>
        <v/>
      </c>
      <c r="H523" s="8">
        <f>IF(A523="","",Eingabe!$B$7-G523)</f>
        <v/>
      </c>
      <c r="I523" s="8">
        <f>IF(A523="","",Eingabe!$B$8-SUMIFS($F$2:F523,$D$2:D523,D523))</f>
        <v/>
      </c>
      <c r="J523" s="8">
        <f>IF(A523="","",IF(E523="",1E+99,IFERROR(VLOOKUP(E523,Eingabe!$D$5:$E$44,2,FALSE),Eingabe!$B$9)))</f>
        <v/>
      </c>
      <c r="K523" s="8">
        <f>IF(A523="","",IF(E523="",1E+99,J523-SUMIFS($F$2:F523,$E$2:E523,E523)))</f>
        <v/>
      </c>
      <c r="L523" s="5">
        <f>IF(A523="","",IF(OR(H523&lt;0,I523&lt;0,K523&lt;0),"UNMOEGLICH","OK"))</f>
        <v/>
      </c>
    </row>
    <row r="524">
      <c r="A524" s="7">
        <f>IF(ROW()-1&lt;=Eingabe!$B$4-Eingabe!$B$3+1,Eingabe!$B$3+ROW()-2,"")</f>
        <v/>
      </c>
      <c r="B524" s="5">
        <f>IF(A524="","",TEXT(A524,"yyyy-mm-dd"))</f>
        <v/>
      </c>
      <c r="C524" s="5">
        <f>IF(A524="","",TEXT(A524,"ddd"))</f>
        <v/>
      </c>
      <c r="D524" s="5">
        <f>IF(A524="","",TEXT(A524,"yyyy-mm"))</f>
        <v/>
      </c>
      <c r="E524" s="5">
        <f>IF(A524="","",IF(A524&lt;Eingabe!$B$5,"",INT((A524-Eingabe!$B$5)/(Eingabe!$B$6*7))+1))</f>
        <v/>
      </c>
      <c r="F524" s="8">
        <f>IF(A524="","",SUMPRODUCT((Eingabe!$B$16:$B$165&lt;&gt;"")*(Eingabe!$J$16:$J$165)*--(A524&gt;=Eingabe!$G$16:$G$165)*--(A524&lt;=Eingabe!$H$16:$H$165)*--(WEEKDAY(A524,2)&lt;=5)))</f>
        <v/>
      </c>
      <c r="G524" s="8">
        <f>IF(A524="","",SUM($F$2:F524))</f>
        <v/>
      </c>
      <c r="H524" s="8">
        <f>IF(A524="","",Eingabe!$B$7-G524)</f>
        <v/>
      </c>
      <c r="I524" s="8">
        <f>IF(A524="","",Eingabe!$B$8-SUMIFS($F$2:F524,$D$2:D524,D524))</f>
        <v/>
      </c>
      <c r="J524" s="8">
        <f>IF(A524="","",IF(E524="",1E+99,IFERROR(VLOOKUP(E524,Eingabe!$D$5:$E$44,2,FALSE),Eingabe!$B$9)))</f>
        <v/>
      </c>
      <c r="K524" s="8">
        <f>IF(A524="","",IF(E524="",1E+99,J524-SUMIFS($F$2:F524,$E$2:E524,E524)))</f>
        <v/>
      </c>
      <c r="L524" s="5">
        <f>IF(A524="","",IF(OR(H524&lt;0,I524&lt;0,K524&lt;0),"UNMOEGLICH","OK"))</f>
        <v/>
      </c>
    </row>
    <row r="525">
      <c r="A525" s="7">
        <f>IF(ROW()-1&lt;=Eingabe!$B$4-Eingabe!$B$3+1,Eingabe!$B$3+ROW()-2,"")</f>
        <v/>
      </c>
      <c r="B525" s="5">
        <f>IF(A525="","",TEXT(A525,"yyyy-mm-dd"))</f>
        <v/>
      </c>
      <c r="C525" s="5">
        <f>IF(A525="","",TEXT(A525,"ddd"))</f>
        <v/>
      </c>
      <c r="D525" s="5">
        <f>IF(A525="","",TEXT(A525,"yyyy-mm"))</f>
        <v/>
      </c>
      <c r="E525" s="5">
        <f>IF(A525="","",IF(A525&lt;Eingabe!$B$5,"",INT((A525-Eingabe!$B$5)/(Eingabe!$B$6*7))+1))</f>
        <v/>
      </c>
      <c r="F525" s="8">
        <f>IF(A525="","",SUMPRODUCT((Eingabe!$B$16:$B$165&lt;&gt;"")*(Eingabe!$J$16:$J$165)*--(A525&gt;=Eingabe!$G$16:$G$165)*--(A525&lt;=Eingabe!$H$16:$H$165)*--(WEEKDAY(A525,2)&lt;=5)))</f>
        <v/>
      </c>
      <c r="G525" s="8">
        <f>IF(A525="","",SUM($F$2:F525))</f>
        <v/>
      </c>
      <c r="H525" s="8">
        <f>IF(A525="","",Eingabe!$B$7-G525)</f>
        <v/>
      </c>
      <c r="I525" s="8">
        <f>IF(A525="","",Eingabe!$B$8-SUMIFS($F$2:F525,$D$2:D525,D525))</f>
        <v/>
      </c>
      <c r="J525" s="8">
        <f>IF(A525="","",IF(E525="",1E+99,IFERROR(VLOOKUP(E525,Eingabe!$D$5:$E$44,2,FALSE),Eingabe!$B$9)))</f>
        <v/>
      </c>
      <c r="K525" s="8">
        <f>IF(A525="","",IF(E525="",1E+99,J525-SUMIFS($F$2:F525,$E$2:E525,E525)))</f>
        <v/>
      </c>
      <c r="L525" s="5">
        <f>IF(A525="","",IF(OR(H525&lt;0,I525&lt;0,K525&lt;0),"UNMOEGLICH","OK"))</f>
        <v/>
      </c>
    </row>
    <row r="526">
      <c r="A526" s="7">
        <f>IF(ROW()-1&lt;=Eingabe!$B$4-Eingabe!$B$3+1,Eingabe!$B$3+ROW()-2,"")</f>
        <v/>
      </c>
      <c r="B526" s="5">
        <f>IF(A526="","",TEXT(A526,"yyyy-mm-dd"))</f>
        <v/>
      </c>
      <c r="C526" s="5">
        <f>IF(A526="","",TEXT(A526,"ddd"))</f>
        <v/>
      </c>
      <c r="D526" s="5">
        <f>IF(A526="","",TEXT(A526,"yyyy-mm"))</f>
        <v/>
      </c>
      <c r="E526" s="5">
        <f>IF(A526="","",IF(A526&lt;Eingabe!$B$5,"",INT((A526-Eingabe!$B$5)/(Eingabe!$B$6*7))+1))</f>
        <v/>
      </c>
      <c r="F526" s="8">
        <f>IF(A526="","",SUMPRODUCT((Eingabe!$B$16:$B$165&lt;&gt;"")*(Eingabe!$J$16:$J$165)*--(A526&gt;=Eingabe!$G$16:$G$165)*--(A526&lt;=Eingabe!$H$16:$H$165)*--(WEEKDAY(A526,2)&lt;=5)))</f>
        <v/>
      </c>
      <c r="G526" s="8">
        <f>IF(A526="","",SUM($F$2:F526))</f>
        <v/>
      </c>
      <c r="H526" s="8">
        <f>IF(A526="","",Eingabe!$B$7-G526)</f>
        <v/>
      </c>
      <c r="I526" s="8">
        <f>IF(A526="","",Eingabe!$B$8-SUMIFS($F$2:F526,$D$2:D526,D526))</f>
        <v/>
      </c>
      <c r="J526" s="8">
        <f>IF(A526="","",IF(E526="",1E+99,IFERROR(VLOOKUP(E526,Eingabe!$D$5:$E$44,2,FALSE),Eingabe!$B$9)))</f>
        <v/>
      </c>
      <c r="K526" s="8">
        <f>IF(A526="","",IF(E526="",1E+99,J526-SUMIFS($F$2:F526,$E$2:E526,E526)))</f>
        <v/>
      </c>
      <c r="L526" s="5">
        <f>IF(A526="","",IF(OR(H526&lt;0,I526&lt;0,K526&lt;0),"UNMOEGLICH","OK"))</f>
        <v/>
      </c>
    </row>
    <row r="527">
      <c r="A527" s="7">
        <f>IF(ROW()-1&lt;=Eingabe!$B$4-Eingabe!$B$3+1,Eingabe!$B$3+ROW()-2,"")</f>
        <v/>
      </c>
      <c r="B527" s="5">
        <f>IF(A527="","",TEXT(A527,"yyyy-mm-dd"))</f>
        <v/>
      </c>
      <c r="C527" s="5">
        <f>IF(A527="","",TEXT(A527,"ddd"))</f>
        <v/>
      </c>
      <c r="D527" s="5">
        <f>IF(A527="","",TEXT(A527,"yyyy-mm"))</f>
        <v/>
      </c>
      <c r="E527" s="5">
        <f>IF(A527="","",IF(A527&lt;Eingabe!$B$5,"",INT((A527-Eingabe!$B$5)/(Eingabe!$B$6*7))+1))</f>
        <v/>
      </c>
      <c r="F527" s="8">
        <f>IF(A527="","",SUMPRODUCT((Eingabe!$B$16:$B$165&lt;&gt;"")*(Eingabe!$J$16:$J$165)*--(A527&gt;=Eingabe!$G$16:$G$165)*--(A527&lt;=Eingabe!$H$16:$H$165)*--(WEEKDAY(A527,2)&lt;=5)))</f>
        <v/>
      </c>
      <c r="G527" s="8">
        <f>IF(A527="","",SUM($F$2:F527))</f>
        <v/>
      </c>
      <c r="H527" s="8">
        <f>IF(A527="","",Eingabe!$B$7-G527)</f>
        <v/>
      </c>
      <c r="I527" s="8">
        <f>IF(A527="","",Eingabe!$B$8-SUMIFS($F$2:F527,$D$2:D527,D527))</f>
        <v/>
      </c>
      <c r="J527" s="8">
        <f>IF(A527="","",IF(E527="",1E+99,IFERROR(VLOOKUP(E527,Eingabe!$D$5:$E$44,2,FALSE),Eingabe!$B$9)))</f>
        <v/>
      </c>
      <c r="K527" s="8">
        <f>IF(A527="","",IF(E527="",1E+99,J527-SUMIFS($F$2:F527,$E$2:E527,E527)))</f>
        <v/>
      </c>
      <c r="L527" s="5">
        <f>IF(A527="","",IF(OR(H527&lt;0,I527&lt;0,K527&lt;0),"UNMOEGLICH","OK"))</f>
        <v/>
      </c>
    </row>
    <row r="528">
      <c r="A528" s="7">
        <f>IF(ROW()-1&lt;=Eingabe!$B$4-Eingabe!$B$3+1,Eingabe!$B$3+ROW()-2,"")</f>
        <v/>
      </c>
      <c r="B528" s="5">
        <f>IF(A528="","",TEXT(A528,"yyyy-mm-dd"))</f>
        <v/>
      </c>
      <c r="C528" s="5">
        <f>IF(A528="","",TEXT(A528,"ddd"))</f>
        <v/>
      </c>
      <c r="D528" s="5">
        <f>IF(A528="","",TEXT(A528,"yyyy-mm"))</f>
        <v/>
      </c>
      <c r="E528" s="5">
        <f>IF(A528="","",IF(A528&lt;Eingabe!$B$5,"",INT((A528-Eingabe!$B$5)/(Eingabe!$B$6*7))+1))</f>
        <v/>
      </c>
      <c r="F528" s="8">
        <f>IF(A528="","",SUMPRODUCT((Eingabe!$B$16:$B$165&lt;&gt;"")*(Eingabe!$J$16:$J$165)*--(A528&gt;=Eingabe!$G$16:$G$165)*--(A528&lt;=Eingabe!$H$16:$H$165)*--(WEEKDAY(A528,2)&lt;=5)))</f>
        <v/>
      </c>
      <c r="G528" s="8">
        <f>IF(A528="","",SUM($F$2:F528))</f>
        <v/>
      </c>
      <c r="H528" s="8">
        <f>IF(A528="","",Eingabe!$B$7-G528)</f>
        <v/>
      </c>
      <c r="I528" s="8">
        <f>IF(A528="","",Eingabe!$B$8-SUMIFS($F$2:F528,$D$2:D528,D528))</f>
        <v/>
      </c>
      <c r="J528" s="8">
        <f>IF(A528="","",IF(E528="",1E+99,IFERROR(VLOOKUP(E528,Eingabe!$D$5:$E$44,2,FALSE),Eingabe!$B$9)))</f>
        <v/>
      </c>
      <c r="K528" s="8">
        <f>IF(A528="","",IF(E528="",1E+99,J528-SUMIFS($F$2:F528,$E$2:E528,E528)))</f>
        <v/>
      </c>
      <c r="L528" s="5">
        <f>IF(A528="","",IF(OR(H528&lt;0,I528&lt;0,K528&lt;0),"UNMOEGLICH","OK"))</f>
        <v/>
      </c>
    </row>
    <row r="529">
      <c r="A529" s="7">
        <f>IF(ROW()-1&lt;=Eingabe!$B$4-Eingabe!$B$3+1,Eingabe!$B$3+ROW()-2,"")</f>
        <v/>
      </c>
      <c r="B529" s="5">
        <f>IF(A529="","",TEXT(A529,"yyyy-mm-dd"))</f>
        <v/>
      </c>
      <c r="C529" s="5">
        <f>IF(A529="","",TEXT(A529,"ddd"))</f>
        <v/>
      </c>
      <c r="D529" s="5">
        <f>IF(A529="","",TEXT(A529,"yyyy-mm"))</f>
        <v/>
      </c>
      <c r="E529" s="5">
        <f>IF(A529="","",IF(A529&lt;Eingabe!$B$5,"",INT((A529-Eingabe!$B$5)/(Eingabe!$B$6*7))+1))</f>
        <v/>
      </c>
      <c r="F529" s="8">
        <f>IF(A529="","",SUMPRODUCT((Eingabe!$B$16:$B$165&lt;&gt;"")*(Eingabe!$J$16:$J$165)*--(A529&gt;=Eingabe!$G$16:$G$165)*--(A529&lt;=Eingabe!$H$16:$H$165)*--(WEEKDAY(A529,2)&lt;=5)))</f>
        <v/>
      </c>
      <c r="G529" s="8">
        <f>IF(A529="","",SUM($F$2:F529))</f>
        <v/>
      </c>
      <c r="H529" s="8">
        <f>IF(A529="","",Eingabe!$B$7-G529)</f>
        <v/>
      </c>
      <c r="I529" s="8">
        <f>IF(A529="","",Eingabe!$B$8-SUMIFS($F$2:F529,$D$2:D529,D529))</f>
        <v/>
      </c>
      <c r="J529" s="8">
        <f>IF(A529="","",IF(E529="",1E+99,IFERROR(VLOOKUP(E529,Eingabe!$D$5:$E$44,2,FALSE),Eingabe!$B$9)))</f>
        <v/>
      </c>
      <c r="K529" s="8">
        <f>IF(A529="","",IF(E529="",1E+99,J529-SUMIFS($F$2:F529,$E$2:E529,E529)))</f>
        <v/>
      </c>
      <c r="L529" s="5">
        <f>IF(A529="","",IF(OR(H529&lt;0,I529&lt;0,K529&lt;0),"UNMOEGLICH","OK"))</f>
        <v/>
      </c>
    </row>
    <row r="530">
      <c r="A530" s="7">
        <f>IF(ROW()-1&lt;=Eingabe!$B$4-Eingabe!$B$3+1,Eingabe!$B$3+ROW()-2,"")</f>
        <v/>
      </c>
      <c r="B530" s="5">
        <f>IF(A530="","",TEXT(A530,"yyyy-mm-dd"))</f>
        <v/>
      </c>
      <c r="C530" s="5">
        <f>IF(A530="","",TEXT(A530,"ddd"))</f>
        <v/>
      </c>
      <c r="D530" s="5">
        <f>IF(A530="","",TEXT(A530,"yyyy-mm"))</f>
        <v/>
      </c>
      <c r="E530" s="5">
        <f>IF(A530="","",IF(A530&lt;Eingabe!$B$5,"",INT((A530-Eingabe!$B$5)/(Eingabe!$B$6*7))+1))</f>
        <v/>
      </c>
      <c r="F530" s="8">
        <f>IF(A530="","",SUMPRODUCT((Eingabe!$B$16:$B$165&lt;&gt;"")*(Eingabe!$J$16:$J$165)*--(A530&gt;=Eingabe!$G$16:$G$165)*--(A530&lt;=Eingabe!$H$16:$H$165)*--(WEEKDAY(A530,2)&lt;=5)))</f>
        <v/>
      </c>
      <c r="G530" s="8">
        <f>IF(A530="","",SUM($F$2:F530))</f>
        <v/>
      </c>
      <c r="H530" s="8">
        <f>IF(A530="","",Eingabe!$B$7-G530)</f>
        <v/>
      </c>
      <c r="I530" s="8">
        <f>IF(A530="","",Eingabe!$B$8-SUMIFS($F$2:F530,$D$2:D530,D530))</f>
        <v/>
      </c>
      <c r="J530" s="8">
        <f>IF(A530="","",IF(E530="",1E+99,IFERROR(VLOOKUP(E530,Eingabe!$D$5:$E$44,2,FALSE),Eingabe!$B$9)))</f>
        <v/>
      </c>
      <c r="K530" s="8">
        <f>IF(A530="","",IF(E530="",1E+99,J530-SUMIFS($F$2:F530,$E$2:E530,E530)))</f>
        <v/>
      </c>
      <c r="L530" s="5">
        <f>IF(A530="","",IF(OR(H530&lt;0,I530&lt;0,K530&lt;0),"UNMOEGLICH","OK"))</f>
        <v/>
      </c>
    </row>
    <row r="531">
      <c r="A531" s="7">
        <f>IF(ROW()-1&lt;=Eingabe!$B$4-Eingabe!$B$3+1,Eingabe!$B$3+ROW()-2,"")</f>
        <v/>
      </c>
      <c r="B531" s="5">
        <f>IF(A531="","",TEXT(A531,"yyyy-mm-dd"))</f>
        <v/>
      </c>
      <c r="C531" s="5">
        <f>IF(A531="","",TEXT(A531,"ddd"))</f>
        <v/>
      </c>
      <c r="D531" s="5">
        <f>IF(A531="","",TEXT(A531,"yyyy-mm"))</f>
        <v/>
      </c>
      <c r="E531" s="5">
        <f>IF(A531="","",IF(A531&lt;Eingabe!$B$5,"",INT((A531-Eingabe!$B$5)/(Eingabe!$B$6*7))+1))</f>
        <v/>
      </c>
      <c r="F531" s="8">
        <f>IF(A531="","",SUMPRODUCT((Eingabe!$B$16:$B$165&lt;&gt;"")*(Eingabe!$J$16:$J$165)*--(A531&gt;=Eingabe!$G$16:$G$165)*--(A531&lt;=Eingabe!$H$16:$H$165)*--(WEEKDAY(A531,2)&lt;=5)))</f>
        <v/>
      </c>
      <c r="G531" s="8">
        <f>IF(A531="","",SUM($F$2:F531))</f>
        <v/>
      </c>
      <c r="H531" s="8">
        <f>IF(A531="","",Eingabe!$B$7-G531)</f>
        <v/>
      </c>
      <c r="I531" s="8">
        <f>IF(A531="","",Eingabe!$B$8-SUMIFS($F$2:F531,$D$2:D531,D531))</f>
        <v/>
      </c>
      <c r="J531" s="8">
        <f>IF(A531="","",IF(E531="",1E+99,IFERROR(VLOOKUP(E531,Eingabe!$D$5:$E$44,2,FALSE),Eingabe!$B$9)))</f>
        <v/>
      </c>
      <c r="K531" s="8">
        <f>IF(A531="","",IF(E531="",1E+99,J531-SUMIFS($F$2:F531,$E$2:E531,E531)))</f>
        <v/>
      </c>
      <c r="L531" s="5">
        <f>IF(A531="","",IF(OR(H531&lt;0,I531&lt;0,K531&lt;0),"UNMOEGLICH","OK"))</f>
        <v/>
      </c>
    </row>
    <row r="532">
      <c r="A532" s="7">
        <f>IF(ROW()-1&lt;=Eingabe!$B$4-Eingabe!$B$3+1,Eingabe!$B$3+ROW()-2,"")</f>
        <v/>
      </c>
      <c r="B532" s="5">
        <f>IF(A532="","",TEXT(A532,"yyyy-mm-dd"))</f>
        <v/>
      </c>
      <c r="C532" s="5">
        <f>IF(A532="","",TEXT(A532,"ddd"))</f>
        <v/>
      </c>
      <c r="D532" s="5">
        <f>IF(A532="","",TEXT(A532,"yyyy-mm"))</f>
        <v/>
      </c>
      <c r="E532" s="5">
        <f>IF(A532="","",IF(A532&lt;Eingabe!$B$5,"",INT((A532-Eingabe!$B$5)/(Eingabe!$B$6*7))+1))</f>
        <v/>
      </c>
      <c r="F532" s="8">
        <f>IF(A532="","",SUMPRODUCT((Eingabe!$B$16:$B$165&lt;&gt;"")*(Eingabe!$J$16:$J$165)*--(A532&gt;=Eingabe!$G$16:$G$165)*--(A532&lt;=Eingabe!$H$16:$H$165)*--(WEEKDAY(A532,2)&lt;=5)))</f>
        <v/>
      </c>
      <c r="G532" s="8">
        <f>IF(A532="","",SUM($F$2:F532))</f>
        <v/>
      </c>
      <c r="H532" s="8">
        <f>IF(A532="","",Eingabe!$B$7-G532)</f>
        <v/>
      </c>
      <c r="I532" s="8">
        <f>IF(A532="","",Eingabe!$B$8-SUMIFS($F$2:F532,$D$2:D532,D532))</f>
        <v/>
      </c>
      <c r="J532" s="8">
        <f>IF(A532="","",IF(E532="",1E+99,IFERROR(VLOOKUP(E532,Eingabe!$D$5:$E$44,2,FALSE),Eingabe!$B$9)))</f>
        <v/>
      </c>
      <c r="K532" s="8">
        <f>IF(A532="","",IF(E532="",1E+99,J532-SUMIFS($F$2:F532,$E$2:E532,E532)))</f>
        <v/>
      </c>
      <c r="L532" s="5">
        <f>IF(A532="","",IF(OR(H532&lt;0,I532&lt;0,K532&lt;0),"UNMOEGLICH","OK"))</f>
        <v/>
      </c>
    </row>
    <row r="533">
      <c r="A533" s="7">
        <f>IF(ROW()-1&lt;=Eingabe!$B$4-Eingabe!$B$3+1,Eingabe!$B$3+ROW()-2,"")</f>
        <v/>
      </c>
      <c r="B533" s="5">
        <f>IF(A533="","",TEXT(A533,"yyyy-mm-dd"))</f>
        <v/>
      </c>
      <c r="C533" s="5">
        <f>IF(A533="","",TEXT(A533,"ddd"))</f>
        <v/>
      </c>
      <c r="D533" s="5">
        <f>IF(A533="","",TEXT(A533,"yyyy-mm"))</f>
        <v/>
      </c>
      <c r="E533" s="5">
        <f>IF(A533="","",IF(A533&lt;Eingabe!$B$5,"",INT((A533-Eingabe!$B$5)/(Eingabe!$B$6*7))+1))</f>
        <v/>
      </c>
      <c r="F533" s="8">
        <f>IF(A533="","",SUMPRODUCT((Eingabe!$B$16:$B$165&lt;&gt;"")*(Eingabe!$J$16:$J$165)*--(A533&gt;=Eingabe!$G$16:$G$165)*--(A533&lt;=Eingabe!$H$16:$H$165)*--(WEEKDAY(A533,2)&lt;=5)))</f>
        <v/>
      </c>
      <c r="G533" s="8">
        <f>IF(A533="","",SUM($F$2:F533))</f>
        <v/>
      </c>
      <c r="H533" s="8">
        <f>IF(A533="","",Eingabe!$B$7-G533)</f>
        <v/>
      </c>
      <c r="I533" s="8">
        <f>IF(A533="","",Eingabe!$B$8-SUMIFS($F$2:F533,$D$2:D533,D533))</f>
        <v/>
      </c>
      <c r="J533" s="8">
        <f>IF(A533="","",IF(E533="",1E+99,IFERROR(VLOOKUP(E533,Eingabe!$D$5:$E$44,2,FALSE),Eingabe!$B$9)))</f>
        <v/>
      </c>
      <c r="K533" s="8">
        <f>IF(A533="","",IF(E533="",1E+99,J533-SUMIFS($F$2:F533,$E$2:E533,E533)))</f>
        <v/>
      </c>
      <c r="L533" s="5">
        <f>IF(A533="","",IF(OR(H533&lt;0,I533&lt;0,K533&lt;0),"UNMOEGLICH","OK"))</f>
        <v/>
      </c>
    </row>
    <row r="534">
      <c r="A534" s="7">
        <f>IF(ROW()-1&lt;=Eingabe!$B$4-Eingabe!$B$3+1,Eingabe!$B$3+ROW()-2,"")</f>
        <v/>
      </c>
      <c r="B534" s="5">
        <f>IF(A534="","",TEXT(A534,"yyyy-mm-dd"))</f>
        <v/>
      </c>
      <c r="C534" s="5">
        <f>IF(A534="","",TEXT(A534,"ddd"))</f>
        <v/>
      </c>
      <c r="D534" s="5">
        <f>IF(A534="","",TEXT(A534,"yyyy-mm"))</f>
        <v/>
      </c>
      <c r="E534" s="5">
        <f>IF(A534="","",IF(A534&lt;Eingabe!$B$5,"",INT((A534-Eingabe!$B$5)/(Eingabe!$B$6*7))+1))</f>
        <v/>
      </c>
      <c r="F534" s="8">
        <f>IF(A534="","",SUMPRODUCT((Eingabe!$B$16:$B$165&lt;&gt;"")*(Eingabe!$J$16:$J$165)*--(A534&gt;=Eingabe!$G$16:$G$165)*--(A534&lt;=Eingabe!$H$16:$H$165)*--(WEEKDAY(A534,2)&lt;=5)))</f>
        <v/>
      </c>
      <c r="G534" s="8">
        <f>IF(A534="","",SUM($F$2:F534))</f>
        <v/>
      </c>
      <c r="H534" s="8">
        <f>IF(A534="","",Eingabe!$B$7-G534)</f>
        <v/>
      </c>
      <c r="I534" s="8">
        <f>IF(A534="","",Eingabe!$B$8-SUMIFS($F$2:F534,$D$2:D534,D534))</f>
        <v/>
      </c>
      <c r="J534" s="8">
        <f>IF(A534="","",IF(E534="",1E+99,IFERROR(VLOOKUP(E534,Eingabe!$D$5:$E$44,2,FALSE),Eingabe!$B$9)))</f>
        <v/>
      </c>
      <c r="K534" s="8">
        <f>IF(A534="","",IF(E534="",1E+99,J534-SUMIFS($F$2:F534,$E$2:E534,E534)))</f>
        <v/>
      </c>
      <c r="L534" s="5">
        <f>IF(A534="","",IF(OR(H534&lt;0,I534&lt;0,K534&lt;0),"UNMOEGLICH","OK"))</f>
        <v/>
      </c>
    </row>
    <row r="535">
      <c r="A535" s="7">
        <f>IF(ROW()-1&lt;=Eingabe!$B$4-Eingabe!$B$3+1,Eingabe!$B$3+ROW()-2,"")</f>
        <v/>
      </c>
      <c r="B535" s="5">
        <f>IF(A535="","",TEXT(A535,"yyyy-mm-dd"))</f>
        <v/>
      </c>
      <c r="C535" s="5">
        <f>IF(A535="","",TEXT(A535,"ddd"))</f>
        <v/>
      </c>
      <c r="D535" s="5">
        <f>IF(A535="","",TEXT(A535,"yyyy-mm"))</f>
        <v/>
      </c>
      <c r="E535" s="5">
        <f>IF(A535="","",IF(A535&lt;Eingabe!$B$5,"",INT((A535-Eingabe!$B$5)/(Eingabe!$B$6*7))+1))</f>
        <v/>
      </c>
      <c r="F535" s="8">
        <f>IF(A535="","",SUMPRODUCT((Eingabe!$B$16:$B$165&lt;&gt;"")*(Eingabe!$J$16:$J$165)*--(A535&gt;=Eingabe!$G$16:$G$165)*--(A535&lt;=Eingabe!$H$16:$H$165)*--(WEEKDAY(A535,2)&lt;=5)))</f>
        <v/>
      </c>
      <c r="G535" s="8">
        <f>IF(A535="","",SUM($F$2:F535))</f>
        <v/>
      </c>
      <c r="H535" s="8">
        <f>IF(A535="","",Eingabe!$B$7-G535)</f>
        <v/>
      </c>
      <c r="I535" s="8">
        <f>IF(A535="","",Eingabe!$B$8-SUMIFS($F$2:F535,$D$2:D535,D535))</f>
        <v/>
      </c>
      <c r="J535" s="8">
        <f>IF(A535="","",IF(E535="",1E+99,IFERROR(VLOOKUP(E535,Eingabe!$D$5:$E$44,2,FALSE),Eingabe!$B$9)))</f>
        <v/>
      </c>
      <c r="K535" s="8">
        <f>IF(A535="","",IF(E535="",1E+99,J535-SUMIFS($F$2:F535,$E$2:E535,E535)))</f>
        <v/>
      </c>
      <c r="L535" s="5">
        <f>IF(A535="","",IF(OR(H535&lt;0,I535&lt;0,K535&lt;0),"UNMOEGLICH","OK"))</f>
        <v/>
      </c>
    </row>
    <row r="536">
      <c r="A536" s="7">
        <f>IF(ROW()-1&lt;=Eingabe!$B$4-Eingabe!$B$3+1,Eingabe!$B$3+ROW()-2,"")</f>
        <v/>
      </c>
      <c r="B536" s="5">
        <f>IF(A536="","",TEXT(A536,"yyyy-mm-dd"))</f>
        <v/>
      </c>
      <c r="C536" s="5">
        <f>IF(A536="","",TEXT(A536,"ddd"))</f>
        <v/>
      </c>
      <c r="D536" s="5">
        <f>IF(A536="","",TEXT(A536,"yyyy-mm"))</f>
        <v/>
      </c>
      <c r="E536" s="5">
        <f>IF(A536="","",IF(A536&lt;Eingabe!$B$5,"",INT((A536-Eingabe!$B$5)/(Eingabe!$B$6*7))+1))</f>
        <v/>
      </c>
      <c r="F536" s="8">
        <f>IF(A536="","",SUMPRODUCT((Eingabe!$B$16:$B$165&lt;&gt;"")*(Eingabe!$J$16:$J$165)*--(A536&gt;=Eingabe!$G$16:$G$165)*--(A536&lt;=Eingabe!$H$16:$H$165)*--(WEEKDAY(A536,2)&lt;=5)))</f>
        <v/>
      </c>
      <c r="G536" s="8">
        <f>IF(A536="","",SUM($F$2:F536))</f>
        <v/>
      </c>
      <c r="H536" s="8">
        <f>IF(A536="","",Eingabe!$B$7-G536)</f>
        <v/>
      </c>
      <c r="I536" s="8">
        <f>IF(A536="","",Eingabe!$B$8-SUMIFS($F$2:F536,$D$2:D536,D536))</f>
        <v/>
      </c>
      <c r="J536" s="8">
        <f>IF(A536="","",IF(E536="",1E+99,IFERROR(VLOOKUP(E536,Eingabe!$D$5:$E$44,2,FALSE),Eingabe!$B$9)))</f>
        <v/>
      </c>
      <c r="K536" s="8">
        <f>IF(A536="","",IF(E536="",1E+99,J536-SUMIFS($F$2:F536,$E$2:E536,E536)))</f>
        <v/>
      </c>
      <c r="L536" s="5">
        <f>IF(A536="","",IF(OR(H536&lt;0,I536&lt;0,K536&lt;0),"UNMOEGLICH","OK"))</f>
        <v/>
      </c>
    </row>
    <row r="537">
      <c r="A537" s="7">
        <f>IF(ROW()-1&lt;=Eingabe!$B$4-Eingabe!$B$3+1,Eingabe!$B$3+ROW()-2,"")</f>
        <v/>
      </c>
      <c r="B537" s="5">
        <f>IF(A537="","",TEXT(A537,"yyyy-mm-dd"))</f>
        <v/>
      </c>
      <c r="C537" s="5">
        <f>IF(A537="","",TEXT(A537,"ddd"))</f>
        <v/>
      </c>
      <c r="D537" s="5">
        <f>IF(A537="","",TEXT(A537,"yyyy-mm"))</f>
        <v/>
      </c>
      <c r="E537" s="5">
        <f>IF(A537="","",IF(A537&lt;Eingabe!$B$5,"",INT((A537-Eingabe!$B$5)/(Eingabe!$B$6*7))+1))</f>
        <v/>
      </c>
      <c r="F537" s="8">
        <f>IF(A537="","",SUMPRODUCT((Eingabe!$B$16:$B$165&lt;&gt;"")*(Eingabe!$J$16:$J$165)*--(A537&gt;=Eingabe!$G$16:$G$165)*--(A537&lt;=Eingabe!$H$16:$H$165)*--(WEEKDAY(A537,2)&lt;=5)))</f>
        <v/>
      </c>
      <c r="G537" s="8">
        <f>IF(A537="","",SUM($F$2:F537))</f>
        <v/>
      </c>
      <c r="H537" s="8">
        <f>IF(A537="","",Eingabe!$B$7-G537)</f>
        <v/>
      </c>
      <c r="I537" s="8">
        <f>IF(A537="","",Eingabe!$B$8-SUMIFS($F$2:F537,$D$2:D537,D537))</f>
        <v/>
      </c>
      <c r="J537" s="8">
        <f>IF(A537="","",IF(E537="",1E+99,IFERROR(VLOOKUP(E537,Eingabe!$D$5:$E$44,2,FALSE),Eingabe!$B$9)))</f>
        <v/>
      </c>
      <c r="K537" s="8">
        <f>IF(A537="","",IF(E537="",1E+99,J537-SUMIFS($F$2:F537,$E$2:E537,E537)))</f>
        <v/>
      </c>
      <c r="L537" s="5">
        <f>IF(A537="","",IF(OR(H537&lt;0,I537&lt;0,K537&lt;0),"UNMOEGLICH","OK"))</f>
        <v/>
      </c>
    </row>
    <row r="538">
      <c r="A538" s="7">
        <f>IF(ROW()-1&lt;=Eingabe!$B$4-Eingabe!$B$3+1,Eingabe!$B$3+ROW()-2,"")</f>
        <v/>
      </c>
      <c r="B538" s="5">
        <f>IF(A538="","",TEXT(A538,"yyyy-mm-dd"))</f>
        <v/>
      </c>
      <c r="C538" s="5">
        <f>IF(A538="","",TEXT(A538,"ddd"))</f>
        <v/>
      </c>
      <c r="D538" s="5">
        <f>IF(A538="","",TEXT(A538,"yyyy-mm"))</f>
        <v/>
      </c>
      <c r="E538" s="5">
        <f>IF(A538="","",IF(A538&lt;Eingabe!$B$5,"",INT((A538-Eingabe!$B$5)/(Eingabe!$B$6*7))+1))</f>
        <v/>
      </c>
      <c r="F538" s="8">
        <f>IF(A538="","",SUMPRODUCT((Eingabe!$B$16:$B$165&lt;&gt;"")*(Eingabe!$J$16:$J$165)*--(A538&gt;=Eingabe!$G$16:$G$165)*--(A538&lt;=Eingabe!$H$16:$H$165)*--(WEEKDAY(A538,2)&lt;=5)))</f>
        <v/>
      </c>
      <c r="G538" s="8">
        <f>IF(A538="","",SUM($F$2:F538))</f>
        <v/>
      </c>
      <c r="H538" s="8">
        <f>IF(A538="","",Eingabe!$B$7-G538)</f>
        <v/>
      </c>
      <c r="I538" s="8">
        <f>IF(A538="","",Eingabe!$B$8-SUMIFS($F$2:F538,$D$2:D538,D538))</f>
        <v/>
      </c>
      <c r="J538" s="8">
        <f>IF(A538="","",IF(E538="",1E+99,IFERROR(VLOOKUP(E538,Eingabe!$D$5:$E$44,2,FALSE),Eingabe!$B$9)))</f>
        <v/>
      </c>
      <c r="K538" s="8">
        <f>IF(A538="","",IF(E538="",1E+99,J538-SUMIFS($F$2:F538,$E$2:E538,E538)))</f>
        <v/>
      </c>
      <c r="L538" s="5">
        <f>IF(A538="","",IF(OR(H538&lt;0,I538&lt;0,K538&lt;0),"UNMOEGLICH","OK"))</f>
        <v/>
      </c>
    </row>
    <row r="539">
      <c r="A539" s="7">
        <f>IF(ROW()-1&lt;=Eingabe!$B$4-Eingabe!$B$3+1,Eingabe!$B$3+ROW()-2,"")</f>
        <v/>
      </c>
      <c r="B539" s="5">
        <f>IF(A539="","",TEXT(A539,"yyyy-mm-dd"))</f>
        <v/>
      </c>
      <c r="C539" s="5">
        <f>IF(A539="","",TEXT(A539,"ddd"))</f>
        <v/>
      </c>
      <c r="D539" s="5">
        <f>IF(A539="","",TEXT(A539,"yyyy-mm"))</f>
        <v/>
      </c>
      <c r="E539" s="5">
        <f>IF(A539="","",IF(A539&lt;Eingabe!$B$5,"",INT((A539-Eingabe!$B$5)/(Eingabe!$B$6*7))+1))</f>
        <v/>
      </c>
      <c r="F539" s="8">
        <f>IF(A539="","",SUMPRODUCT((Eingabe!$B$16:$B$165&lt;&gt;"")*(Eingabe!$J$16:$J$165)*--(A539&gt;=Eingabe!$G$16:$G$165)*--(A539&lt;=Eingabe!$H$16:$H$165)*--(WEEKDAY(A539,2)&lt;=5)))</f>
        <v/>
      </c>
      <c r="G539" s="8">
        <f>IF(A539="","",SUM($F$2:F539))</f>
        <v/>
      </c>
      <c r="H539" s="8">
        <f>IF(A539="","",Eingabe!$B$7-G539)</f>
        <v/>
      </c>
      <c r="I539" s="8">
        <f>IF(A539="","",Eingabe!$B$8-SUMIFS($F$2:F539,$D$2:D539,D539))</f>
        <v/>
      </c>
      <c r="J539" s="8">
        <f>IF(A539="","",IF(E539="",1E+99,IFERROR(VLOOKUP(E539,Eingabe!$D$5:$E$44,2,FALSE),Eingabe!$B$9)))</f>
        <v/>
      </c>
      <c r="K539" s="8">
        <f>IF(A539="","",IF(E539="",1E+99,J539-SUMIFS($F$2:F539,$E$2:E539,E539)))</f>
        <v/>
      </c>
      <c r="L539" s="5">
        <f>IF(A539="","",IF(OR(H539&lt;0,I539&lt;0,K539&lt;0),"UNMOEGLICH","OK"))</f>
        <v/>
      </c>
    </row>
    <row r="540">
      <c r="A540" s="7">
        <f>IF(ROW()-1&lt;=Eingabe!$B$4-Eingabe!$B$3+1,Eingabe!$B$3+ROW()-2,"")</f>
        <v/>
      </c>
      <c r="B540" s="5">
        <f>IF(A540="","",TEXT(A540,"yyyy-mm-dd"))</f>
        <v/>
      </c>
      <c r="C540" s="5">
        <f>IF(A540="","",TEXT(A540,"ddd"))</f>
        <v/>
      </c>
      <c r="D540" s="5">
        <f>IF(A540="","",TEXT(A540,"yyyy-mm"))</f>
        <v/>
      </c>
      <c r="E540" s="5">
        <f>IF(A540="","",IF(A540&lt;Eingabe!$B$5,"",INT((A540-Eingabe!$B$5)/(Eingabe!$B$6*7))+1))</f>
        <v/>
      </c>
      <c r="F540" s="8">
        <f>IF(A540="","",SUMPRODUCT((Eingabe!$B$16:$B$165&lt;&gt;"")*(Eingabe!$J$16:$J$165)*--(A540&gt;=Eingabe!$G$16:$G$165)*--(A540&lt;=Eingabe!$H$16:$H$165)*--(WEEKDAY(A540,2)&lt;=5)))</f>
        <v/>
      </c>
      <c r="G540" s="8">
        <f>IF(A540="","",SUM($F$2:F540))</f>
        <v/>
      </c>
      <c r="H540" s="8">
        <f>IF(A540="","",Eingabe!$B$7-G540)</f>
        <v/>
      </c>
      <c r="I540" s="8">
        <f>IF(A540="","",Eingabe!$B$8-SUMIFS($F$2:F540,$D$2:D540,D540))</f>
        <v/>
      </c>
      <c r="J540" s="8">
        <f>IF(A540="","",IF(E540="",1E+99,IFERROR(VLOOKUP(E540,Eingabe!$D$5:$E$44,2,FALSE),Eingabe!$B$9)))</f>
        <v/>
      </c>
      <c r="K540" s="8">
        <f>IF(A540="","",IF(E540="",1E+99,J540-SUMIFS($F$2:F540,$E$2:E540,E540)))</f>
        <v/>
      </c>
      <c r="L540" s="5">
        <f>IF(A540="","",IF(OR(H540&lt;0,I540&lt;0,K540&lt;0),"UNMOEGLICH","OK"))</f>
        <v/>
      </c>
    </row>
    <row r="541">
      <c r="A541" s="7">
        <f>IF(ROW()-1&lt;=Eingabe!$B$4-Eingabe!$B$3+1,Eingabe!$B$3+ROW()-2,"")</f>
        <v/>
      </c>
      <c r="B541" s="5">
        <f>IF(A541="","",TEXT(A541,"yyyy-mm-dd"))</f>
        <v/>
      </c>
      <c r="C541" s="5">
        <f>IF(A541="","",TEXT(A541,"ddd"))</f>
        <v/>
      </c>
      <c r="D541" s="5">
        <f>IF(A541="","",TEXT(A541,"yyyy-mm"))</f>
        <v/>
      </c>
      <c r="E541" s="5">
        <f>IF(A541="","",IF(A541&lt;Eingabe!$B$5,"",INT((A541-Eingabe!$B$5)/(Eingabe!$B$6*7))+1))</f>
        <v/>
      </c>
      <c r="F541" s="8">
        <f>IF(A541="","",SUMPRODUCT((Eingabe!$B$16:$B$165&lt;&gt;"")*(Eingabe!$J$16:$J$165)*--(A541&gt;=Eingabe!$G$16:$G$165)*--(A541&lt;=Eingabe!$H$16:$H$165)*--(WEEKDAY(A541,2)&lt;=5)))</f>
        <v/>
      </c>
      <c r="G541" s="8">
        <f>IF(A541="","",SUM($F$2:F541))</f>
        <v/>
      </c>
      <c r="H541" s="8">
        <f>IF(A541="","",Eingabe!$B$7-G541)</f>
        <v/>
      </c>
      <c r="I541" s="8">
        <f>IF(A541="","",Eingabe!$B$8-SUMIFS($F$2:F541,$D$2:D541,D541))</f>
        <v/>
      </c>
      <c r="J541" s="8">
        <f>IF(A541="","",IF(E541="",1E+99,IFERROR(VLOOKUP(E541,Eingabe!$D$5:$E$44,2,FALSE),Eingabe!$B$9)))</f>
        <v/>
      </c>
      <c r="K541" s="8">
        <f>IF(A541="","",IF(E541="",1E+99,J541-SUMIFS($F$2:F541,$E$2:E541,E541)))</f>
        <v/>
      </c>
      <c r="L541" s="5">
        <f>IF(A541="","",IF(OR(H541&lt;0,I541&lt;0,K541&lt;0),"UNMOEGLICH","OK"))</f>
        <v/>
      </c>
    </row>
    <row r="542">
      <c r="A542" s="7">
        <f>IF(ROW()-1&lt;=Eingabe!$B$4-Eingabe!$B$3+1,Eingabe!$B$3+ROW()-2,"")</f>
        <v/>
      </c>
      <c r="B542" s="5">
        <f>IF(A542="","",TEXT(A542,"yyyy-mm-dd"))</f>
        <v/>
      </c>
      <c r="C542" s="5">
        <f>IF(A542="","",TEXT(A542,"ddd"))</f>
        <v/>
      </c>
      <c r="D542" s="5">
        <f>IF(A542="","",TEXT(A542,"yyyy-mm"))</f>
        <v/>
      </c>
      <c r="E542" s="5">
        <f>IF(A542="","",IF(A542&lt;Eingabe!$B$5,"",INT((A542-Eingabe!$B$5)/(Eingabe!$B$6*7))+1))</f>
        <v/>
      </c>
      <c r="F542" s="8">
        <f>IF(A542="","",SUMPRODUCT((Eingabe!$B$16:$B$165&lt;&gt;"")*(Eingabe!$J$16:$J$165)*--(A542&gt;=Eingabe!$G$16:$G$165)*--(A542&lt;=Eingabe!$H$16:$H$165)*--(WEEKDAY(A542,2)&lt;=5)))</f>
        <v/>
      </c>
      <c r="G542" s="8">
        <f>IF(A542="","",SUM($F$2:F542))</f>
        <v/>
      </c>
      <c r="H542" s="8">
        <f>IF(A542="","",Eingabe!$B$7-G542)</f>
        <v/>
      </c>
      <c r="I542" s="8">
        <f>IF(A542="","",Eingabe!$B$8-SUMIFS($F$2:F542,$D$2:D542,D542))</f>
        <v/>
      </c>
      <c r="J542" s="8">
        <f>IF(A542="","",IF(E542="",1E+99,IFERROR(VLOOKUP(E542,Eingabe!$D$5:$E$44,2,FALSE),Eingabe!$B$9)))</f>
        <v/>
      </c>
      <c r="K542" s="8">
        <f>IF(A542="","",IF(E542="",1E+99,J542-SUMIFS($F$2:F542,$E$2:E542,E542)))</f>
        <v/>
      </c>
      <c r="L542" s="5">
        <f>IF(A542="","",IF(OR(H542&lt;0,I542&lt;0,K542&lt;0),"UNMOEGLICH","OK"))</f>
        <v/>
      </c>
    </row>
    <row r="543">
      <c r="A543" s="7">
        <f>IF(ROW()-1&lt;=Eingabe!$B$4-Eingabe!$B$3+1,Eingabe!$B$3+ROW()-2,"")</f>
        <v/>
      </c>
      <c r="B543" s="5">
        <f>IF(A543="","",TEXT(A543,"yyyy-mm-dd"))</f>
        <v/>
      </c>
      <c r="C543" s="5">
        <f>IF(A543="","",TEXT(A543,"ddd"))</f>
        <v/>
      </c>
      <c r="D543" s="5">
        <f>IF(A543="","",TEXT(A543,"yyyy-mm"))</f>
        <v/>
      </c>
      <c r="E543" s="5">
        <f>IF(A543="","",IF(A543&lt;Eingabe!$B$5,"",INT((A543-Eingabe!$B$5)/(Eingabe!$B$6*7))+1))</f>
        <v/>
      </c>
      <c r="F543" s="8">
        <f>IF(A543="","",SUMPRODUCT((Eingabe!$B$16:$B$165&lt;&gt;"")*(Eingabe!$J$16:$J$165)*--(A543&gt;=Eingabe!$G$16:$G$165)*--(A543&lt;=Eingabe!$H$16:$H$165)*--(WEEKDAY(A543,2)&lt;=5)))</f>
        <v/>
      </c>
      <c r="G543" s="8">
        <f>IF(A543="","",SUM($F$2:F543))</f>
        <v/>
      </c>
      <c r="H543" s="8">
        <f>IF(A543="","",Eingabe!$B$7-G543)</f>
        <v/>
      </c>
      <c r="I543" s="8">
        <f>IF(A543="","",Eingabe!$B$8-SUMIFS($F$2:F543,$D$2:D543,D543))</f>
        <v/>
      </c>
      <c r="J543" s="8">
        <f>IF(A543="","",IF(E543="",1E+99,IFERROR(VLOOKUP(E543,Eingabe!$D$5:$E$44,2,FALSE),Eingabe!$B$9)))</f>
        <v/>
      </c>
      <c r="K543" s="8">
        <f>IF(A543="","",IF(E543="",1E+99,J543-SUMIFS($F$2:F543,$E$2:E543,E543)))</f>
        <v/>
      </c>
      <c r="L543" s="5">
        <f>IF(A543="","",IF(OR(H543&lt;0,I543&lt;0,K543&lt;0),"UNMOEGLICH","OK"))</f>
        <v/>
      </c>
    </row>
    <row r="544">
      <c r="A544" s="7">
        <f>IF(ROW()-1&lt;=Eingabe!$B$4-Eingabe!$B$3+1,Eingabe!$B$3+ROW()-2,"")</f>
        <v/>
      </c>
      <c r="B544" s="5">
        <f>IF(A544="","",TEXT(A544,"yyyy-mm-dd"))</f>
        <v/>
      </c>
      <c r="C544" s="5">
        <f>IF(A544="","",TEXT(A544,"ddd"))</f>
        <v/>
      </c>
      <c r="D544" s="5">
        <f>IF(A544="","",TEXT(A544,"yyyy-mm"))</f>
        <v/>
      </c>
      <c r="E544" s="5">
        <f>IF(A544="","",IF(A544&lt;Eingabe!$B$5,"",INT((A544-Eingabe!$B$5)/(Eingabe!$B$6*7))+1))</f>
        <v/>
      </c>
      <c r="F544" s="8">
        <f>IF(A544="","",SUMPRODUCT((Eingabe!$B$16:$B$165&lt;&gt;"")*(Eingabe!$J$16:$J$165)*--(A544&gt;=Eingabe!$G$16:$G$165)*--(A544&lt;=Eingabe!$H$16:$H$165)*--(WEEKDAY(A544,2)&lt;=5)))</f>
        <v/>
      </c>
      <c r="G544" s="8">
        <f>IF(A544="","",SUM($F$2:F544))</f>
        <v/>
      </c>
      <c r="H544" s="8">
        <f>IF(A544="","",Eingabe!$B$7-G544)</f>
        <v/>
      </c>
      <c r="I544" s="8">
        <f>IF(A544="","",Eingabe!$B$8-SUMIFS($F$2:F544,$D$2:D544,D544))</f>
        <v/>
      </c>
      <c r="J544" s="8">
        <f>IF(A544="","",IF(E544="",1E+99,IFERROR(VLOOKUP(E544,Eingabe!$D$5:$E$44,2,FALSE),Eingabe!$B$9)))</f>
        <v/>
      </c>
      <c r="K544" s="8">
        <f>IF(A544="","",IF(E544="",1E+99,J544-SUMIFS($F$2:F544,$E$2:E544,E544)))</f>
        <v/>
      </c>
      <c r="L544" s="5">
        <f>IF(A544="","",IF(OR(H544&lt;0,I544&lt;0,K544&lt;0),"UNMOEGLICH","OK"))</f>
        <v/>
      </c>
    </row>
    <row r="545">
      <c r="A545" s="7">
        <f>IF(ROW()-1&lt;=Eingabe!$B$4-Eingabe!$B$3+1,Eingabe!$B$3+ROW()-2,"")</f>
        <v/>
      </c>
      <c r="B545" s="5">
        <f>IF(A545="","",TEXT(A545,"yyyy-mm-dd"))</f>
        <v/>
      </c>
      <c r="C545" s="5">
        <f>IF(A545="","",TEXT(A545,"ddd"))</f>
        <v/>
      </c>
      <c r="D545" s="5">
        <f>IF(A545="","",TEXT(A545,"yyyy-mm"))</f>
        <v/>
      </c>
      <c r="E545" s="5">
        <f>IF(A545="","",IF(A545&lt;Eingabe!$B$5,"",INT((A545-Eingabe!$B$5)/(Eingabe!$B$6*7))+1))</f>
        <v/>
      </c>
      <c r="F545" s="8">
        <f>IF(A545="","",SUMPRODUCT((Eingabe!$B$16:$B$165&lt;&gt;"")*(Eingabe!$J$16:$J$165)*--(A545&gt;=Eingabe!$G$16:$G$165)*--(A545&lt;=Eingabe!$H$16:$H$165)*--(WEEKDAY(A545,2)&lt;=5)))</f>
        <v/>
      </c>
      <c r="G545" s="8">
        <f>IF(A545="","",SUM($F$2:F545))</f>
        <v/>
      </c>
      <c r="H545" s="8">
        <f>IF(A545="","",Eingabe!$B$7-G545)</f>
        <v/>
      </c>
      <c r="I545" s="8">
        <f>IF(A545="","",Eingabe!$B$8-SUMIFS($F$2:F545,$D$2:D545,D545))</f>
        <v/>
      </c>
      <c r="J545" s="8">
        <f>IF(A545="","",IF(E545="",1E+99,IFERROR(VLOOKUP(E545,Eingabe!$D$5:$E$44,2,FALSE),Eingabe!$B$9)))</f>
        <v/>
      </c>
      <c r="K545" s="8">
        <f>IF(A545="","",IF(E545="",1E+99,J545-SUMIFS($F$2:F545,$E$2:E545,E545)))</f>
        <v/>
      </c>
      <c r="L545" s="5">
        <f>IF(A545="","",IF(OR(H545&lt;0,I545&lt;0,K545&lt;0),"UNMOEGLICH","OK"))</f>
        <v/>
      </c>
    </row>
    <row r="546">
      <c r="A546" s="7">
        <f>IF(ROW()-1&lt;=Eingabe!$B$4-Eingabe!$B$3+1,Eingabe!$B$3+ROW()-2,"")</f>
        <v/>
      </c>
      <c r="B546" s="5">
        <f>IF(A546="","",TEXT(A546,"yyyy-mm-dd"))</f>
        <v/>
      </c>
      <c r="C546" s="5">
        <f>IF(A546="","",TEXT(A546,"ddd"))</f>
        <v/>
      </c>
      <c r="D546" s="5">
        <f>IF(A546="","",TEXT(A546,"yyyy-mm"))</f>
        <v/>
      </c>
      <c r="E546" s="5">
        <f>IF(A546="","",IF(A546&lt;Eingabe!$B$5,"",INT((A546-Eingabe!$B$5)/(Eingabe!$B$6*7))+1))</f>
        <v/>
      </c>
      <c r="F546" s="8">
        <f>IF(A546="","",SUMPRODUCT((Eingabe!$B$16:$B$165&lt;&gt;"")*(Eingabe!$J$16:$J$165)*--(A546&gt;=Eingabe!$G$16:$G$165)*--(A546&lt;=Eingabe!$H$16:$H$165)*--(WEEKDAY(A546,2)&lt;=5)))</f>
        <v/>
      </c>
      <c r="G546" s="8">
        <f>IF(A546="","",SUM($F$2:F546))</f>
        <v/>
      </c>
      <c r="H546" s="8">
        <f>IF(A546="","",Eingabe!$B$7-G546)</f>
        <v/>
      </c>
      <c r="I546" s="8">
        <f>IF(A546="","",Eingabe!$B$8-SUMIFS($F$2:F546,$D$2:D546,D546))</f>
        <v/>
      </c>
      <c r="J546" s="8">
        <f>IF(A546="","",IF(E546="",1E+99,IFERROR(VLOOKUP(E546,Eingabe!$D$5:$E$44,2,FALSE),Eingabe!$B$9)))</f>
        <v/>
      </c>
      <c r="K546" s="8">
        <f>IF(A546="","",IF(E546="",1E+99,J546-SUMIFS($F$2:F546,$E$2:E546,E546)))</f>
        <v/>
      </c>
      <c r="L546" s="5">
        <f>IF(A546="","",IF(OR(H546&lt;0,I546&lt;0,K546&lt;0),"UNMOEGLICH","OK"))</f>
        <v/>
      </c>
    </row>
    <row r="547">
      <c r="A547" s="7">
        <f>IF(ROW()-1&lt;=Eingabe!$B$4-Eingabe!$B$3+1,Eingabe!$B$3+ROW()-2,"")</f>
        <v/>
      </c>
      <c r="B547" s="5">
        <f>IF(A547="","",TEXT(A547,"yyyy-mm-dd"))</f>
        <v/>
      </c>
      <c r="C547" s="5">
        <f>IF(A547="","",TEXT(A547,"ddd"))</f>
        <v/>
      </c>
      <c r="D547" s="5">
        <f>IF(A547="","",TEXT(A547,"yyyy-mm"))</f>
        <v/>
      </c>
      <c r="E547" s="5">
        <f>IF(A547="","",IF(A547&lt;Eingabe!$B$5,"",INT((A547-Eingabe!$B$5)/(Eingabe!$B$6*7))+1))</f>
        <v/>
      </c>
      <c r="F547" s="8">
        <f>IF(A547="","",SUMPRODUCT((Eingabe!$B$16:$B$165&lt;&gt;"")*(Eingabe!$J$16:$J$165)*--(A547&gt;=Eingabe!$G$16:$G$165)*--(A547&lt;=Eingabe!$H$16:$H$165)*--(WEEKDAY(A547,2)&lt;=5)))</f>
        <v/>
      </c>
      <c r="G547" s="8">
        <f>IF(A547="","",SUM($F$2:F547))</f>
        <v/>
      </c>
      <c r="H547" s="8">
        <f>IF(A547="","",Eingabe!$B$7-G547)</f>
        <v/>
      </c>
      <c r="I547" s="8">
        <f>IF(A547="","",Eingabe!$B$8-SUMIFS($F$2:F547,$D$2:D547,D547))</f>
        <v/>
      </c>
      <c r="J547" s="8">
        <f>IF(A547="","",IF(E547="",1E+99,IFERROR(VLOOKUP(E547,Eingabe!$D$5:$E$44,2,FALSE),Eingabe!$B$9)))</f>
        <v/>
      </c>
      <c r="K547" s="8">
        <f>IF(A547="","",IF(E547="",1E+99,J547-SUMIFS($F$2:F547,$E$2:E547,E547)))</f>
        <v/>
      </c>
      <c r="L547" s="5">
        <f>IF(A547="","",IF(OR(H547&lt;0,I547&lt;0,K547&lt;0),"UNMOEGLICH","OK"))</f>
        <v/>
      </c>
    </row>
    <row r="548">
      <c r="A548" s="7">
        <f>IF(ROW()-1&lt;=Eingabe!$B$4-Eingabe!$B$3+1,Eingabe!$B$3+ROW()-2,"")</f>
        <v/>
      </c>
      <c r="B548" s="5">
        <f>IF(A548="","",TEXT(A548,"yyyy-mm-dd"))</f>
        <v/>
      </c>
      <c r="C548" s="5">
        <f>IF(A548="","",TEXT(A548,"ddd"))</f>
        <v/>
      </c>
      <c r="D548" s="5">
        <f>IF(A548="","",TEXT(A548,"yyyy-mm"))</f>
        <v/>
      </c>
      <c r="E548" s="5">
        <f>IF(A548="","",IF(A548&lt;Eingabe!$B$5,"",INT((A548-Eingabe!$B$5)/(Eingabe!$B$6*7))+1))</f>
        <v/>
      </c>
      <c r="F548" s="8">
        <f>IF(A548="","",SUMPRODUCT((Eingabe!$B$16:$B$165&lt;&gt;"")*(Eingabe!$J$16:$J$165)*--(A548&gt;=Eingabe!$G$16:$G$165)*--(A548&lt;=Eingabe!$H$16:$H$165)*--(WEEKDAY(A548,2)&lt;=5)))</f>
        <v/>
      </c>
      <c r="G548" s="8">
        <f>IF(A548="","",SUM($F$2:F548))</f>
        <v/>
      </c>
      <c r="H548" s="8">
        <f>IF(A548="","",Eingabe!$B$7-G548)</f>
        <v/>
      </c>
      <c r="I548" s="8">
        <f>IF(A548="","",Eingabe!$B$8-SUMIFS($F$2:F548,$D$2:D548,D548))</f>
        <v/>
      </c>
      <c r="J548" s="8">
        <f>IF(A548="","",IF(E548="",1E+99,IFERROR(VLOOKUP(E548,Eingabe!$D$5:$E$44,2,FALSE),Eingabe!$B$9)))</f>
        <v/>
      </c>
      <c r="K548" s="8">
        <f>IF(A548="","",IF(E548="",1E+99,J548-SUMIFS($F$2:F548,$E$2:E548,E548)))</f>
        <v/>
      </c>
      <c r="L548" s="5">
        <f>IF(A548="","",IF(OR(H548&lt;0,I548&lt;0,K548&lt;0),"UNMOEGLICH","OK"))</f>
        <v/>
      </c>
    </row>
    <row r="549">
      <c r="A549" s="7">
        <f>IF(ROW()-1&lt;=Eingabe!$B$4-Eingabe!$B$3+1,Eingabe!$B$3+ROW()-2,"")</f>
        <v/>
      </c>
      <c r="B549" s="5">
        <f>IF(A549="","",TEXT(A549,"yyyy-mm-dd"))</f>
        <v/>
      </c>
      <c r="C549" s="5">
        <f>IF(A549="","",TEXT(A549,"ddd"))</f>
        <v/>
      </c>
      <c r="D549" s="5">
        <f>IF(A549="","",TEXT(A549,"yyyy-mm"))</f>
        <v/>
      </c>
      <c r="E549" s="5">
        <f>IF(A549="","",IF(A549&lt;Eingabe!$B$5,"",INT((A549-Eingabe!$B$5)/(Eingabe!$B$6*7))+1))</f>
        <v/>
      </c>
      <c r="F549" s="8">
        <f>IF(A549="","",SUMPRODUCT((Eingabe!$B$16:$B$165&lt;&gt;"")*(Eingabe!$J$16:$J$165)*--(A549&gt;=Eingabe!$G$16:$G$165)*--(A549&lt;=Eingabe!$H$16:$H$165)*--(WEEKDAY(A549,2)&lt;=5)))</f>
        <v/>
      </c>
      <c r="G549" s="8">
        <f>IF(A549="","",SUM($F$2:F549))</f>
        <v/>
      </c>
      <c r="H549" s="8">
        <f>IF(A549="","",Eingabe!$B$7-G549)</f>
        <v/>
      </c>
      <c r="I549" s="8">
        <f>IF(A549="","",Eingabe!$B$8-SUMIFS($F$2:F549,$D$2:D549,D549))</f>
        <v/>
      </c>
      <c r="J549" s="8">
        <f>IF(A549="","",IF(E549="",1E+99,IFERROR(VLOOKUP(E549,Eingabe!$D$5:$E$44,2,FALSE),Eingabe!$B$9)))</f>
        <v/>
      </c>
      <c r="K549" s="8">
        <f>IF(A549="","",IF(E549="",1E+99,J549-SUMIFS($F$2:F549,$E$2:E549,E549)))</f>
        <v/>
      </c>
      <c r="L549" s="5">
        <f>IF(A549="","",IF(OR(H549&lt;0,I549&lt;0,K549&lt;0),"UNMOEGLICH","OK"))</f>
        <v/>
      </c>
    </row>
    <row r="550">
      <c r="A550" s="7">
        <f>IF(ROW()-1&lt;=Eingabe!$B$4-Eingabe!$B$3+1,Eingabe!$B$3+ROW()-2,"")</f>
        <v/>
      </c>
      <c r="B550" s="5">
        <f>IF(A550="","",TEXT(A550,"yyyy-mm-dd"))</f>
        <v/>
      </c>
      <c r="C550" s="5">
        <f>IF(A550="","",TEXT(A550,"ddd"))</f>
        <v/>
      </c>
      <c r="D550" s="5">
        <f>IF(A550="","",TEXT(A550,"yyyy-mm"))</f>
        <v/>
      </c>
      <c r="E550" s="5">
        <f>IF(A550="","",IF(A550&lt;Eingabe!$B$5,"",INT((A550-Eingabe!$B$5)/(Eingabe!$B$6*7))+1))</f>
        <v/>
      </c>
      <c r="F550" s="8">
        <f>IF(A550="","",SUMPRODUCT((Eingabe!$B$16:$B$165&lt;&gt;"")*(Eingabe!$J$16:$J$165)*--(A550&gt;=Eingabe!$G$16:$G$165)*--(A550&lt;=Eingabe!$H$16:$H$165)*--(WEEKDAY(A550,2)&lt;=5)))</f>
        <v/>
      </c>
      <c r="G550" s="8">
        <f>IF(A550="","",SUM($F$2:F550))</f>
        <v/>
      </c>
      <c r="H550" s="8">
        <f>IF(A550="","",Eingabe!$B$7-G550)</f>
        <v/>
      </c>
      <c r="I550" s="8">
        <f>IF(A550="","",Eingabe!$B$8-SUMIFS($F$2:F550,$D$2:D550,D550))</f>
        <v/>
      </c>
      <c r="J550" s="8">
        <f>IF(A550="","",IF(E550="",1E+99,IFERROR(VLOOKUP(E550,Eingabe!$D$5:$E$44,2,FALSE),Eingabe!$B$9)))</f>
        <v/>
      </c>
      <c r="K550" s="8">
        <f>IF(A550="","",IF(E550="",1E+99,J550-SUMIFS($F$2:F550,$E$2:E550,E550)))</f>
        <v/>
      </c>
      <c r="L550" s="5">
        <f>IF(A550="","",IF(OR(H550&lt;0,I550&lt;0,K550&lt;0),"UNMOEGLICH","OK"))</f>
        <v/>
      </c>
    </row>
    <row r="551">
      <c r="A551" s="7">
        <f>IF(ROW()-1&lt;=Eingabe!$B$4-Eingabe!$B$3+1,Eingabe!$B$3+ROW()-2,"")</f>
        <v/>
      </c>
      <c r="B551" s="5">
        <f>IF(A551="","",TEXT(A551,"yyyy-mm-dd"))</f>
        <v/>
      </c>
      <c r="C551" s="5">
        <f>IF(A551="","",TEXT(A551,"ddd"))</f>
        <v/>
      </c>
      <c r="D551" s="5">
        <f>IF(A551="","",TEXT(A551,"yyyy-mm"))</f>
        <v/>
      </c>
      <c r="E551" s="5">
        <f>IF(A551="","",IF(A551&lt;Eingabe!$B$5,"",INT((A551-Eingabe!$B$5)/(Eingabe!$B$6*7))+1))</f>
        <v/>
      </c>
      <c r="F551" s="8">
        <f>IF(A551="","",SUMPRODUCT((Eingabe!$B$16:$B$165&lt;&gt;"")*(Eingabe!$J$16:$J$165)*--(A551&gt;=Eingabe!$G$16:$G$165)*--(A551&lt;=Eingabe!$H$16:$H$165)*--(WEEKDAY(A551,2)&lt;=5)))</f>
        <v/>
      </c>
      <c r="G551" s="8">
        <f>IF(A551="","",SUM($F$2:F551))</f>
        <v/>
      </c>
      <c r="H551" s="8">
        <f>IF(A551="","",Eingabe!$B$7-G551)</f>
        <v/>
      </c>
      <c r="I551" s="8">
        <f>IF(A551="","",Eingabe!$B$8-SUMIFS($F$2:F551,$D$2:D551,D551))</f>
        <v/>
      </c>
      <c r="J551" s="8">
        <f>IF(A551="","",IF(E551="",1E+99,IFERROR(VLOOKUP(E551,Eingabe!$D$5:$E$44,2,FALSE),Eingabe!$B$9)))</f>
        <v/>
      </c>
      <c r="K551" s="8">
        <f>IF(A551="","",IF(E551="",1E+99,J551-SUMIFS($F$2:F551,$E$2:E551,E551)))</f>
        <v/>
      </c>
      <c r="L551" s="5">
        <f>IF(A551="","",IF(OR(H551&lt;0,I551&lt;0,K551&lt;0),"UNMOEGLICH","OK"))</f>
        <v/>
      </c>
    </row>
    <row r="552">
      <c r="A552" s="7">
        <f>IF(ROW()-1&lt;=Eingabe!$B$4-Eingabe!$B$3+1,Eingabe!$B$3+ROW()-2,"")</f>
        <v/>
      </c>
      <c r="B552" s="5">
        <f>IF(A552="","",TEXT(A552,"yyyy-mm-dd"))</f>
        <v/>
      </c>
      <c r="C552" s="5">
        <f>IF(A552="","",TEXT(A552,"ddd"))</f>
        <v/>
      </c>
      <c r="D552" s="5">
        <f>IF(A552="","",TEXT(A552,"yyyy-mm"))</f>
        <v/>
      </c>
      <c r="E552" s="5">
        <f>IF(A552="","",IF(A552&lt;Eingabe!$B$5,"",INT((A552-Eingabe!$B$5)/(Eingabe!$B$6*7))+1))</f>
        <v/>
      </c>
      <c r="F552" s="8">
        <f>IF(A552="","",SUMPRODUCT((Eingabe!$B$16:$B$165&lt;&gt;"")*(Eingabe!$J$16:$J$165)*--(A552&gt;=Eingabe!$G$16:$G$165)*--(A552&lt;=Eingabe!$H$16:$H$165)*--(WEEKDAY(A552,2)&lt;=5)))</f>
        <v/>
      </c>
      <c r="G552" s="8">
        <f>IF(A552="","",SUM($F$2:F552))</f>
        <v/>
      </c>
      <c r="H552" s="8">
        <f>IF(A552="","",Eingabe!$B$7-G552)</f>
        <v/>
      </c>
      <c r="I552" s="8">
        <f>IF(A552="","",Eingabe!$B$8-SUMIFS($F$2:F552,$D$2:D552,D552))</f>
        <v/>
      </c>
      <c r="J552" s="8">
        <f>IF(A552="","",IF(E552="",1E+99,IFERROR(VLOOKUP(E552,Eingabe!$D$5:$E$44,2,FALSE),Eingabe!$B$9)))</f>
        <v/>
      </c>
      <c r="K552" s="8">
        <f>IF(A552="","",IF(E552="",1E+99,J552-SUMIFS($F$2:F552,$E$2:E552,E552)))</f>
        <v/>
      </c>
      <c r="L552" s="5">
        <f>IF(A552="","",IF(OR(H552&lt;0,I552&lt;0,K552&lt;0),"UNMOEGLICH","OK"))</f>
        <v/>
      </c>
    </row>
    <row r="553">
      <c r="A553" s="7">
        <f>IF(ROW()-1&lt;=Eingabe!$B$4-Eingabe!$B$3+1,Eingabe!$B$3+ROW()-2,"")</f>
        <v/>
      </c>
      <c r="B553" s="5">
        <f>IF(A553="","",TEXT(A553,"yyyy-mm-dd"))</f>
        <v/>
      </c>
      <c r="C553" s="5">
        <f>IF(A553="","",TEXT(A553,"ddd"))</f>
        <v/>
      </c>
      <c r="D553" s="5">
        <f>IF(A553="","",TEXT(A553,"yyyy-mm"))</f>
        <v/>
      </c>
      <c r="E553" s="5">
        <f>IF(A553="","",IF(A553&lt;Eingabe!$B$5,"",INT((A553-Eingabe!$B$5)/(Eingabe!$B$6*7))+1))</f>
        <v/>
      </c>
      <c r="F553" s="8">
        <f>IF(A553="","",SUMPRODUCT((Eingabe!$B$16:$B$165&lt;&gt;"")*(Eingabe!$J$16:$J$165)*--(A553&gt;=Eingabe!$G$16:$G$165)*--(A553&lt;=Eingabe!$H$16:$H$165)*--(WEEKDAY(A553,2)&lt;=5)))</f>
        <v/>
      </c>
      <c r="G553" s="8">
        <f>IF(A553="","",SUM($F$2:F553))</f>
        <v/>
      </c>
      <c r="H553" s="8">
        <f>IF(A553="","",Eingabe!$B$7-G553)</f>
        <v/>
      </c>
      <c r="I553" s="8">
        <f>IF(A553="","",Eingabe!$B$8-SUMIFS($F$2:F553,$D$2:D553,D553))</f>
        <v/>
      </c>
      <c r="J553" s="8">
        <f>IF(A553="","",IF(E553="",1E+99,IFERROR(VLOOKUP(E553,Eingabe!$D$5:$E$44,2,FALSE),Eingabe!$B$9)))</f>
        <v/>
      </c>
      <c r="K553" s="8">
        <f>IF(A553="","",IF(E553="",1E+99,J553-SUMIFS($F$2:F553,$E$2:E553,E553)))</f>
        <v/>
      </c>
      <c r="L553" s="5">
        <f>IF(A553="","",IF(OR(H553&lt;0,I553&lt;0,K553&lt;0),"UNMOEGLICH","OK"))</f>
        <v/>
      </c>
    </row>
    <row r="554">
      <c r="A554" s="7">
        <f>IF(ROW()-1&lt;=Eingabe!$B$4-Eingabe!$B$3+1,Eingabe!$B$3+ROW()-2,"")</f>
        <v/>
      </c>
      <c r="B554" s="5">
        <f>IF(A554="","",TEXT(A554,"yyyy-mm-dd"))</f>
        <v/>
      </c>
      <c r="C554" s="5">
        <f>IF(A554="","",TEXT(A554,"ddd"))</f>
        <v/>
      </c>
      <c r="D554" s="5">
        <f>IF(A554="","",TEXT(A554,"yyyy-mm"))</f>
        <v/>
      </c>
      <c r="E554" s="5">
        <f>IF(A554="","",IF(A554&lt;Eingabe!$B$5,"",INT((A554-Eingabe!$B$5)/(Eingabe!$B$6*7))+1))</f>
        <v/>
      </c>
      <c r="F554" s="8">
        <f>IF(A554="","",SUMPRODUCT((Eingabe!$B$16:$B$165&lt;&gt;"")*(Eingabe!$J$16:$J$165)*--(A554&gt;=Eingabe!$G$16:$G$165)*--(A554&lt;=Eingabe!$H$16:$H$165)*--(WEEKDAY(A554,2)&lt;=5)))</f>
        <v/>
      </c>
      <c r="G554" s="8">
        <f>IF(A554="","",SUM($F$2:F554))</f>
        <v/>
      </c>
      <c r="H554" s="8">
        <f>IF(A554="","",Eingabe!$B$7-G554)</f>
        <v/>
      </c>
      <c r="I554" s="8">
        <f>IF(A554="","",Eingabe!$B$8-SUMIFS($F$2:F554,$D$2:D554,D554))</f>
        <v/>
      </c>
      <c r="J554" s="8">
        <f>IF(A554="","",IF(E554="",1E+99,IFERROR(VLOOKUP(E554,Eingabe!$D$5:$E$44,2,FALSE),Eingabe!$B$9)))</f>
        <v/>
      </c>
      <c r="K554" s="8">
        <f>IF(A554="","",IF(E554="",1E+99,J554-SUMIFS($F$2:F554,$E$2:E554,E554)))</f>
        <v/>
      </c>
      <c r="L554" s="5">
        <f>IF(A554="","",IF(OR(H554&lt;0,I554&lt;0,K554&lt;0),"UNMOEGLICH","OK"))</f>
        <v/>
      </c>
    </row>
    <row r="555">
      <c r="A555" s="7">
        <f>IF(ROW()-1&lt;=Eingabe!$B$4-Eingabe!$B$3+1,Eingabe!$B$3+ROW()-2,"")</f>
        <v/>
      </c>
      <c r="B555" s="5">
        <f>IF(A555="","",TEXT(A555,"yyyy-mm-dd"))</f>
        <v/>
      </c>
      <c r="C555" s="5">
        <f>IF(A555="","",TEXT(A555,"ddd"))</f>
        <v/>
      </c>
      <c r="D555" s="5">
        <f>IF(A555="","",TEXT(A555,"yyyy-mm"))</f>
        <v/>
      </c>
      <c r="E555" s="5">
        <f>IF(A555="","",IF(A555&lt;Eingabe!$B$5,"",INT((A555-Eingabe!$B$5)/(Eingabe!$B$6*7))+1))</f>
        <v/>
      </c>
      <c r="F555" s="8">
        <f>IF(A555="","",SUMPRODUCT((Eingabe!$B$16:$B$165&lt;&gt;"")*(Eingabe!$J$16:$J$165)*--(A555&gt;=Eingabe!$G$16:$G$165)*--(A555&lt;=Eingabe!$H$16:$H$165)*--(WEEKDAY(A555,2)&lt;=5)))</f>
        <v/>
      </c>
      <c r="G555" s="8">
        <f>IF(A555="","",SUM($F$2:F555))</f>
        <v/>
      </c>
      <c r="H555" s="8">
        <f>IF(A555="","",Eingabe!$B$7-G555)</f>
        <v/>
      </c>
      <c r="I555" s="8">
        <f>IF(A555="","",Eingabe!$B$8-SUMIFS($F$2:F555,$D$2:D555,D555))</f>
        <v/>
      </c>
      <c r="J555" s="8">
        <f>IF(A555="","",IF(E555="",1E+99,IFERROR(VLOOKUP(E555,Eingabe!$D$5:$E$44,2,FALSE),Eingabe!$B$9)))</f>
        <v/>
      </c>
      <c r="K555" s="8">
        <f>IF(A555="","",IF(E555="",1E+99,J555-SUMIFS($F$2:F555,$E$2:E555,E555)))</f>
        <v/>
      </c>
      <c r="L555" s="5">
        <f>IF(A555="","",IF(OR(H555&lt;0,I555&lt;0,K555&lt;0),"UNMOEGLICH","OK"))</f>
        <v/>
      </c>
    </row>
    <row r="556">
      <c r="A556" s="7">
        <f>IF(ROW()-1&lt;=Eingabe!$B$4-Eingabe!$B$3+1,Eingabe!$B$3+ROW()-2,"")</f>
        <v/>
      </c>
      <c r="B556" s="5">
        <f>IF(A556="","",TEXT(A556,"yyyy-mm-dd"))</f>
        <v/>
      </c>
      <c r="C556" s="5">
        <f>IF(A556="","",TEXT(A556,"ddd"))</f>
        <v/>
      </c>
      <c r="D556" s="5">
        <f>IF(A556="","",TEXT(A556,"yyyy-mm"))</f>
        <v/>
      </c>
      <c r="E556" s="5">
        <f>IF(A556="","",IF(A556&lt;Eingabe!$B$5,"",INT((A556-Eingabe!$B$5)/(Eingabe!$B$6*7))+1))</f>
        <v/>
      </c>
      <c r="F556" s="8">
        <f>IF(A556="","",SUMPRODUCT((Eingabe!$B$16:$B$165&lt;&gt;"")*(Eingabe!$J$16:$J$165)*--(A556&gt;=Eingabe!$G$16:$G$165)*--(A556&lt;=Eingabe!$H$16:$H$165)*--(WEEKDAY(A556,2)&lt;=5)))</f>
        <v/>
      </c>
      <c r="G556" s="8">
        <f>IF(A556="","",SUM($F$2:F556))</f>
        <v/>
      </c>
      <c r="H556" s="8">
        <f>IF(A556="","",Eingabe!$B$7-G556)</f>
        <v/>
      </c>
      <c r="I556" s="8">
        <f>IF(A556="","",Eingabe!$B$8-SUMIFS($F$2:F556,$D$2:D556,D556))</f>
        <v/>
      </c>
      <c r="J556" s="8">
        <f>IF(A556="","",IF(E556="",1E+99,IFERROR(VLOOKUP(E556,Eingabe!$D$5:$E$44,2,FALSE),Eingabe!$B$9)))</f>
        <v/>
      </c>
      <c r="K556" s="8">
        <f>IF(A556="","",IF(E556="",1E+99,J556-SUMIFS($F$2:F556,$E$2:E556,E556)))</f>
        <v/>
      </c>
      <c r="L556" s="5">
        <f>IF(A556="","",IF(OR(H556&lt;0,I556&lt;0,K556&lt;0),"UNMOEGLICH","OK"))</f>
        <v/>
      </c>
    </row>
    <row r="557">
      <c r="A557" s="7">
        <f>IF(ROW()-1&lt;=Eingabe!$B$4-Eingabe!$B$3+1,Eingabe!$B$3+ROW()-2,"")</f>
        <v/>
      </c>
      <c r="B557" s="5">
        <f>IF(A557="","",TEXT(A557,"yyyy-mm-dd"))</f>
        <v/>
      </c>
      <c r="C557" s="5">
        <f>IF(A557="","",TEXT(A557,"ddd"))</f>
        <v/>
      </c>
      <c r="D557" s="5">
        <f>IF(A557="","",TEXT(A557,"yyyy-mm"))</f>
        <v/>
      </c>
      <c r="E557" s="5">
        <f>IF(A557="","",IF(A557&lt;Eingabe!$B$5,"",INT((A557-Eingabe!$B$5)/(Eingabe!$B$6*7))+1))</f>
        <v/>
      </c>
      <c r="F557" s="8">
        <f>IF(A557="","",SUMPRODUCT((Eingabe!$B$16:$B$165&lt;&gt;"")*(Eingabe!$J$16:$J$165)*--(A557&gt;=Eingabe!$G$16:$G$165)*--(A557&lt;=Eingabe!$H$16:$H$165)*--(WEEKDAY(A557,2)&lt;=5)))</f>
        <v/>
      </c>
      <c r="G557" s="8">
        <f>IF(A557="","",SUM($F$2:F557))</f>
        <v/>
      </c>
      <c r="H557" s="8">
        <f>IF(A557="","",Eingabe!$B$7-G557)</f>
        <v/>
      </c>
      <c r="I557" s="8">
        <f>IF(A557="","",Eingabe!$B$8-SUMIFS($F$2:F557,$D$2:D557,D557))</f>
        <v/>
      </c>
      <c r="J557" s="8">
        <f>IF(A557="","",IF(E557="",1E+99,IFERROR(VLOOKUP(E557,Eingabe!$D$5:$E$44,2,FALSE),Eingabe!$B$9)))</f>
        <v/>
      </c>
      <c r="K557" s="8">
        <f>IF(A557="","",IF(E557="",1E+99,J557-SUMIFS($F$2:F557,$E$2:E557,E557)))</f>
        <v/>
      </c>
      <c r="L557" s="5">
        <f>IF(A557="","",IF(OR(H557&lt;0,I557&lt;0,K557&lt;0),"UNMOEGLICH","OK"))</f>
        <v/>
      </c>
    </row>
    <row r="558">
      <c r="A558" s="7">
        <f>IF(ROW()-1&lt;=Eingabe!$B$4-Eingabe!$B$3+1,Eingabe!$B$3+ROW()-2,"")</f>
        <v/>
      </c>
      <c r="B558" s="5">
        <f>IF(A558="","",TEXT(A558,"yyyy-mm-dd"))</f>
        <v/>
      </c>
      <c r="C558" s="5">
        <f>IF(A558="","",TEXT(A558,"ddd"))</f>
        <v/>
      </c>
      <c r="D558" s="5">
        <f>IF(A558="","",TEXT(A558,"yyyy-mm"))</f>
        <v/>
      </c>
      <c r="E558" s="5">
        <f>IF(A558="","",IF(A558&lt;Eingabe!$B$5,"",INT((A558-Eingabe!$B$5)/(Eingabe!$B$6*7))+1))</f>
        <v/>
      </c>
      <c r="F558" s="8">
        <f>IF(A558="","",SUMPRODUCT((Eingabe!$B$16:$B$165&lt;&gt;"")*(Eingabe!$J$16:$J$165)*--(A558&gt;=Eingabe!$G$16:$G$165)*--(A558&lt;=Eingabe!$H$16:$H$165)*--(WEEKDAY(A558,2)&lt;=5)))</f>
        <v/>
      </c>
      <c r="G558" s="8">
        <f>IF(A558="","",SUM($F$2:F558))</f>
        <v/>
      </c>
      <c r="H558" s="8">
        <f>IF(A558="","",Eingabe!$B$7-G558)</f>
        <v/>
      </c>
      <c r="I558" s="8">
        <f>IF(A558="","",Eingabe!$B$8-SUMIFS($F$2:F558,$D$2:D558,D558))</f>
        <v/>
      </c>
      <c r="J558" s="8">
        <f>IF(A558="","",IF(E558="",1E+99,IFERROR(VLOOKUP(E558,Eingabe!$D$5:$E$44,2,FALSE),Eingabe!$B$9)))</f>
        <v/>
      </c>
      <c r="K558" s="8">
        <f>IF(A558="","",IF(E558="",1E+99,J558-SUMIFS($F$2:F558,$E$2:E558,E558)))</f>
        <v/>
      </c>
      <c r="L558" s="5">
        <f>IF(A558="","",IF(OR(H558&lt;0,I558&lt;0,K558&lt;0),"UNMOEGLICH","OK"))</f>
        <v/>
      </c>
    </row>
    <row r="559">
      <c r="A559" s="7">
        <f>IF(ROW()-1&lt;=Eingabe!$B$4-Eingabe!$B$3+1,Eingabe!$B$3+ROW()-2,"")</f>
        <v/>
      </c>
      <c r="B559" s="5">
        <f>IF(A559="","",TEXT(A559,"yyyy-mm-dd"))</f>
        <v/>
      </c>
      <c r="C559" s="5">
        <f>IF(A559="","",TEXT(A559,"ddd"))</f>
        <v/>
      </c>
      <c r="D559" s="5">
        <f>IF(A559="","",TEXT(A559,"yyyy-mm"))</f>
        <v/>
      </c>
      <c r="E559" s="5">
        <f>IF(A559="","",IF(A559&lt;Eingabe!$B$5,"",INT((A559-Eingabe!$B$5)/(Eingabe!$B$6*7))+1))</f>
        <v/>
      </c>
      <c r="F559" s="8">
        <f>IF(A559="","",SUMPRODUCT((Eingabe!$B$16:$B$165&lt;&gt;"")*(Eingabe!$J$16:$J$165)*--(A559&gt;=Eingabe!$G$16:$G$165)*--(A559&lt;=Eingabe!$H$16:$H$165)*--(WEEKDAY(A559,2)&lt;=5)))</f>
        <v/>
      </c>
      <c r="G559" s="8">
        <f>IF(A559="","",SUM($F$2:F559))</f>
        <v/>
      </c>
      <c r="H559" s="8">
        <f>IF(A559="","",Eingabe!$B$7-G559)</f>
        <v/>
      </c>
      <c r="I559" s="8">
        <f>IF(A559="","",Eingabe!$B$8-SUMIFS($F$2:F559,$D$2:D559,D559))</f>
        <v/>
      </c>
      <c r="J559" s="8">
        <f>IF(A559="","",IF(E559="",1E+99,IFERROR(VLOOKUP(E559,Eingabe!$D$5:$E$44,2,FALSE),Eingabe!$B$9)))</f>
        <v/>
      </c>
      <c r="K559" s="8">
        <f>IF(A559="","",IF(E559="",1E+99,J559-SUMIFS($F$2:F559,$E$2:E559,E559)))</f>
        <v/>
      </c>
      <c r="L559" s="5">
        <f>IF(A559="","",IF(OR(H559&lt;0,I559&lt;0,K559&lt;0),"UNMOEGLICH","OK"))</f>
        <v/>
      </c>
    </row>
    <row r="560">
      <c r="A560" s="7">
        <f>IF(ROW()-1&lt;=Eingabe!$B$4-Eingabe!$B$3+1,Eingabe!$B$3+ROW()-2,"")</f>
        <v/>
      </c>
      <c r="B560" s="5">
        <f>IF(A560="","",TEXT(A560,"yyyy-mm-dd"))</f>
        <v/>
      </c>
      <c r="C560" s="5">
        <f>IF(A560="","",TEXT(A560,"ddd"))</f>
        <v/>
      </c>
      <c r="D560" s="5">
        <f>IF(A560="","",TEXT(A560,"yyyy-mm"))</f>
        <v/>
      </c>
      <c r="E560" s="5">
        <f>IF(A560="","",IF(A560&lt;Eingabe!$B$5,"",INT((A560-Eingabe!$B$5)/(Eingabe!$B$6*7))+1))</f>
        <v/>
      </c>
      <c r="F560" s="8">
        <f>IF(A560="","",SUMPRODUCT((Eingabe!$B$16:$B$165&lt;&gt;"")*(Eingabe!$J$16:$J$165)*--(A560&gt;=Eingabe!$G$16:$G$165)*--(A560&lt;=Eingabe!$H$16:$H$165)*--(WEEKDAY(A560,2)&lt;=5)))</f>
        <v/>
      </c>
      <c r="G560" s="8">
        <f>IF(A560="","",SUM($F$2:F560))</f>
        <v/>
      </c>
      <c r="H560" s="8">
        <f>IF(A560="","",Eingabe!$B$7-G560)</f>
        <v/>
      </c>
      <c r="I560" s="8">
        <f>IF(A560="","",Eingabe!$B$8-SUMIFS($F$2:F560,$D$2:D560,D560))</f>
        <v/>
      </c>
      <c r="J560" s="8">
        <f>IF(A560="","",IF(E560="",1E+99,IFERROR(VLOOKUP(E560,Eingabe!$D$5:$E$44,2,FALSE),Eingabe!$B$9)))</f>
        <v/>
      </c>
      <c r="K560" s="8">
        <f>IF(A560="","",IF(E560="",1E+99,J560-SUMIFS($F$2:F560,$E$2:E560,E560)))</f>
        <v/>
      </c>
      <c r="L560" s="5">
        <f>IF(A560="","",IF(OR(H560&lt;0,I560&lt;0,K560&lt;0),"UNMOEGLICH","OK"))</f>
        <v/>
      </c>
    </row>
    <row r="561">
      <c r="A561" s="7">
        <f>IF(ROW()-1&lt;=Eingabe!$B$4-Eingabe!$B$3+1,Eingabe!$B$3+ROW()-2,"")</f>
        <v/>
      </c>
      <c r="B561" s="5">
        <f>IF(A561="","",TEXT(A561,"yyyy-mm-dd"))</f>
        <v/>
      </c>
      <c r="C561" s="5">
        <f>IF(A561="","",TEXT(A561,"ddd"))</f>
        <v/>
      </c>
      <c r="D561" s="5">
        <f>IF(A561="","",TEXT(A561,"yyyy-mm"))</f>
        <v/>
      </c>
      <c r="E561" s="5">
        <f>IF(A561="","",IF(A561&lt;Eingabe!$B$5,"",INT((A561-Eingabe!$B$5)/(Eingabe!$B$6*7))+1))</f>
        <v/>
      </c>
      <c r="F561" s="8">
        <f>IF(A561="","",SUMPRODUCT((Eingabe!$B$16:$B$165&lt;&gt;"")*(Eingabe!$J$16:$J$165)*--(A561&gt;=Eingabe!$G$16:$G$165)*--(A561&lt;=Eingabe!$H$16:$H$165)*--(WEEKDAY(A561,2)&lt;=5)))</f>
        <v/>
      </c>
      <c r="G561" s="8">
        <f>IF(A561="","",SUM($F$2:F561))</f>
        <v/>
      </c>
      <c r="H561" s="8">
        <f>IF(A561="","",Eingabe!$B$7-G561)</f>
        <v/>
      </c>
      <c r="I561" s="8">
        <f>IF(A561="","",Eingabe!$B$8-SUMIFS($F$2:F561,$D$2:D561,D561))</f>
        <v/>
      </c>
      <c r="J561" s="8">
        <f>IF(A561="","",IF(E561="",1E+99,IFERROR(VLOOKUP(E561,Eingabe!$D$5:$E$44,2,FALSE),Eingabe!$B$9)))</f>
        <v/>
      </c>
      <c r="K561" s="8">
        <f>IF(A561="","",IF(E561="",1E+99,J561-SUMIFS($F$2:F561,$E$2:E561,E561)))</f>
        <v/>
      </c>
      <c r="L561" s="5">
        <f>IF(A561="","",IF(OR(H561&lt;0,I561&lt;0,K561&lt;0),"UNMOEGLICH","OK"))</f>
        <v/>
      </c>
    </row>
    <row r="562">
      <c r="A562" s="7">
        <f>IF(ROW()-1&lt;=Eingabe!$B$4-Eingabe!$B$3+1,Eingabe!$B$3+ROW()-2,"")</f>
        <v/>
      </c>
      <c r="B562" s="5">
        <f>IF(A562="","",TEXT(A562,"yyyy-mm-dd"))</f>
        <v/>
      </c>
      <c r="C562" s="5">
        <f>IF(A562="","",TEXT(A562,"ddd"))</f>
        <v/>
      </c>
      <c r="D562" s="5">
        <f>IF(A562="","",TEXT(A562,"yyyy-mm"))</f>
        <v/>
      </c>
      <c r="E562" s="5">
        <f>IF(A562="","",IF(A562&lt;Eingabe!$B$5,"",INT((A562-Eingabe!$B$5)/(Eingabe!$B$6*7))+1))</f>
        <v/>
      </c>
      <c r="F562" s="8">
        <f>IF(A562="","",SUMPRODUCT((Eingabe!$B$16:$B$165&lt;&gt;"")*(Eingabe!$J$16:$J$165)*--(A562&gt;=Eingabe!$G$16:$G$165)*--(A562&lt;=Eingabe!$H$16:$H$165)*--(WEEKDAY(A562,2)&lt;=5)))</f>
        <v/>
      </c>
      <c r="G562" s="8">
        <f>IF(A562="","",SUM($F$2:F562))</f>
        <v/>
      </c>
      <c r="H562" s="8">
        <f>IF(A562="","",Eingabe!$B$7-G562)</f>
        <v/>
      </c>
      <c r="I562" s="8">
        <f>IF(A562="","",Eingabe!$B$8-SUMIFS($F$2:F562,$D$2:D562,D562))</f>
        <v/>
      </c>
      <c r="J562" s="8">
        <f>IF(A562="","",IF(E562="",1E+99,IFERROR(VLOOKUP(E562,Eingabe!$D$5:$E$44,2,FALSE),Eingabe!$B$9)))</f>
        <v/>
      </c>
      <c r="K562" s="8">
        <f>IF(A562="","",IF(E562="",1E+99,J562-SUMIFS($F$2:F562,$E$2:E562,E562)))</f>
        <v/>
      </c>
      <c r="L562" s="5">
        <f>IF(A562="","",IF(OR(H562&lt;0,I562&lt;0,K562&lt;0),"UNMOEGLICH","OK"))</f>
        <v/>
      </c>
    </row>
    <row r="563">
      <c r="A563" s="7">
        <f>IF(ROW()-1&lt;=Eingabe!$B$4-Eingabe!$B$3+1,Eingabe!$B$3+ROW()-2,"")</f>
        <v/>
      </c>
      <c r="B563" s="5">
        <f>IF(A563="","",TEXT(A563,"yyyy-mm-dd"))</f>
        <v/>
      </c>
      <c r="C563" s="5">
        <f>IF(A563="","",TEXT(A563,"ddd"))</f>
        <v/>
      </c>
      <c r="D563" s="5">
        <f>IF(A563="","",TEXT(A563,"yyyy-mm"))</f>
        <v/>
      </c>
      <c r="E563" s="5">
        <f>IF(A563="","",IF(A563&lt;Eingabe!$B$5,"",INT((A563-Eingabe!$B$5)/(Eingabe!$B$6*7))+1))</f>
        <v/>
      </c>
      <c r="F563" s="8">
        <f>IF(A563="","",SUMPRODUCT((Eingabe!$B$16:$B$165&lt;&gt;"")*(Eingabe!$J$16:$J$165)*--(A563&gt;=Eingabe!$G$16:$G$165)*--(A563&lt;=Eingabe!$H$16:$H$165)*--(WEEKDAY(A563,2)&lt;=5)))</f>
        <v/>
      </c>
      <c r="G563" s="8">
        <f>IF(A563="","",SUM($F$2:F563))</f>
        <v/>
      </c>
      <c r="H563" s="8">
        <f>IF(A563="","",Eingabe!$B$7-G563)</f>
        <v/>
      </c>
      <c r="I563" s="8">
        <f>IF(A563="","",Eingabe!$B$8-SUMIFS($F$2:F563,$D$2:D563,D563))</f>
        <v/>
      </c>
      <c r="J563" s="8">
        <f>IF(A563="","",IF(E563="",1E+99,IFERROR(VLOOKUP(E563,Eingabe!$D$5:$E$44,2,FALSE),Eingabe!$B$9)))</f>
        <v/>
      </c>
      <c r="K563" s="8">
        <f>IF(A563="","",IF(E563="",1E+99,J563-SUMIFS($F$2:F563,$E$2:E563,E563)))</f>
        <v/>
      </c>
      <c r="L563" s="5">
        <f>IF(A563="","",IF(OR(H563&lt;0,I563&lt;0,K563&lt;0),"UNMOEGLICH","OK"))</f>
        <v/>
      </c>
    </row>
    <row r="564">
      <c r="A564" s="7">
        <f>IF(ROW()-1&lt;=Eingabe!$B$4-Eingabe!$B$3+1,Eingabe!$B$3+ROW()-2,"")</f>
        <v/>
      </c>
      <c r="B564" s="5">
        <f>IF(A564="","",TEXT(A564,"yyyy-mm-dd"))</f>
        <v/>
      </c>
      <c r="C564" s="5">
        <f>IF(A564="","",TEXT(A564,"ddd"))</f>
        <v/>
      </c>
      <c r="D564" s="5">
        <f>IF(A564="","",TEXT(A564,"yyyy-mm"))</f>
        <v/>
      </c>
      <c r="E564" s="5">
        <f>IF(A564="","",IF(A564&lt;Eingabe!$B$5,"",INT((A564-Eingabe!$B$5)/(Eingabe!$B$6*7))+1))</f>
        <v/>
      </c>
      <c r="F564" s="8">
        <f>IF(A564="","",SUMPRODUCT((Eingabe!$B$16:$B$165&lt;&gt;"")*(Eingabe!$J$16:$J$165)*--(A564&gt;=Eingabe!$G$16:$G$165)*--(A564&lt;=Eingabe!$H$16:$H$165)*--(WEEKDAY(A564,2)&lt;=5)))</f>
        <v/>
      </c>
      <c r="G564" s="8">
        <f>IF(A564="","",SUM($F$2:F564))</f>
        <v/>
      </c>
      <c r="H564" s="8">
        <f>IF(A564="","",Eingabe!$B$7-G564)</f>
        <v/>
      </c>
      <c r="I564" s="8">
        <f>IF(A564="","",Eingabe!$B$8-SUMIFS($F$2:F564,$D$2:D564,D564))</f>
        <v/>
      </c>
      <c r="J564" s="8">
        <f>IF(A564="","",IF(E564="",1E+99,IFERROR(VLOOKUP(E564,Eingabe!$D$5:$E$44,2,FALSE),Eingabe!$B$9)))</f>
        <v/>
      </c>
      <c r="K564" s="8">
        <f>IF(A564="","",IF(E564="",1E+99,J564-SUMIFS($F$2:F564,$E$2:E564,E564)))</f>
        <v/>
      </c>
      <c r="L564" s="5">
        <f>IF(A564="","",IF(OR(H564&lt;0,I564&lt;0,K564&lt;0),"UNMOEGLICH","OK"))</f>
        <v/>
      </c>
    </row>
    <row r="565">
      <c r="A565" s="7">
        <f>IF(ROW()-1&lt;=Eingabe!$B$4-Eingabe!$B$3+1,Eingabe!$B$3+ROW()-2,"")</f>
        <v/>
      </c>
      <c r="B565" s="5">
        <f>IF(A565="","",TEXT(A565,"yyyy-mm-dd"))</f>
        <v/>
      </c>
      <c r="C565" s="5">
        <f>IF(A565="","",TEXT(A565,"ddd"))</f>
        <v/>
      </c>
      <c r="D565" s="5">
        <f>IF(A565="","",TEXT(A565,"yyyy-mm"))</f>
        <v/>
      </c>
      <c r="E565" s="5">
        <f>IF(A565="","",IF(A565&lt;Eingabe!$B$5,"",INT((A565-Eingabe!$B$5)/(Eingabe!$B$6*7))+1))</f>
        <v/>
      </c>
      <c r="F565" s="8">
        <f>IF(A565="","",SUMPRODUCT((Eingabe!$B$16:$B$165&lt;&gt;"")*(Eingabe!$J$16:$J$165)*--(A565&gt;=Eingabe!$G$16:$G$165)*--(A565&lt;=Eingabe!$H$16:$H$165)*--(WEEKDAY(A565,2)&lt;=5)))</f>
        <v/>
      </c>
      <c r="G565" s="8">
        <f>IF(A565="","",SUM($F$2:F565))</f>
        <v/>
      </c>
      <c r="H565" s="8">
        <f>IF(A565="","",Eingabe!$B$7-G565)</f>
        <v/>
      </c>
      <c r="I565" s="8">
        <f>IF(A565="","",Eingabe!$B$8-SUMIFS($F$2:F565,$D$2:D565,D565))</f>
        <v/>
      </c>
      <c r="J565" s="8">
        <f>IF(A565="","",IF(E565="",1E+99,IFERROR(VLOOKUP(E565,Eingabe!$D$5:$E$44,2,FALSE),Eingabe!$B$9)))</f>
        <v/>
      </c>
      <c r="K565" s="8">
        <f>IF(A565="","",IF(E565="",1E+99,J565-SUMIFS($F$2:F565,$E$2:E565,E565)))</f>
        <v/>
      </c>
      <c r="L565" s="5">
        <f>IF(A565="","",IF(OR(H565&lt;0,I565&lt;0,K565&lt;0),"UNMOEGLICH","OK"))</f>
        <v/>
      </c>
    </row>
    <row r="566">
      <c r="A566" s="7">
        <f>IF(ROW()-1&lt;=Eingabe!$B$4-Eingabe!$B$3+1,Eingabe!$B$3+ROW()-2,"")</f>
        <v/>
      </c>
      <c r="B566" s="5">
        <f>IF(A566="","",TEXT(A566,"yyyy-mm-dd"))</f>
        <v/>
      </c>
      <c r="C566" s="5">
        <f>IF(A566="","",TEXT(A566,"ddd"))</f>
        <v/>
      </c>
      <c r="D566" s="5">
        <f>IF(A566="","",TEXT(A566,"yyyy-mm"))</f>
        <v/>
      </c>
      <c r="E566" s="5">
        <f>IF(A566="","",IF(A566&lt;Eingabe!$B$5,"",INT((A566-Eingabe!$B$5)/(Eingabe!$B$6*7))+1))</f>
        <v/>
      </c>
      <c r="F566" s="8">
        <f>IF(A566="","",SUMPRODUCT((Eingabe!$B$16:$B$165&lt;&gt;"")*(Eingabe!$J$16:$J$165)*--(A566&gt;=Eingabe!$G$16:$G$165)*--(A566&lt;=Eingabe!$H$16:$H$165)*--(WEEKDAY(A566,2)&lt;=5)))</f>
        <v/>
      </c>
      <c r="G566" s="8">
        <f>IF(A566="","",SUM($F$2:F566))</f>
        <v/>
      </c>
      <c r="H566" s="8">
        <f>IF(A566="","",Eingabe!$B$7-G566)</f>
        <v/>
      </c>
      <c r="I566" s="8">
        <f>IF(A566="","",Eingabe!$B$8-SUMIFS($F$2:F566,$D$2:D566,D566))</f>
        <v/>
      </c>
      <c r="J566" s="8">
        <f>IF(A566="","",IF(E566="",1E+99,IFERROR(VLOOKUP(E566,Eingabe!$D$5:$E$44,2,FALSE),Eingabe!$B$9)))</f>
        <v/>
      </c>
      <c r="K566" s="8">
        <f>IF(A566="","",IF(E566="",1E+99,J566-SUMIFS($F$2:F566,$E$2:E566,E566)))</f>
        <v/>
      </c>
      <c r="L566" s="5">
        <f>IF(A566="","",IF(OR(H566&lt;0,I566&lt;0,K566&lt;0),"UNMOEGLICH","OK"))</f>
        <v/>
      </c>
    </row>
    <row r="567">
      <c r="A567" s="7">
        <f>IF(ROW()-1&lt;=Eingabe!$B$4-Eingabe!$B$3+1,Eingabe!$B$3+ROW()-2,"")</f>
        <v/>
      </c>
      <c r="B567" s="5">
        <f>IF(A567="","",TEXT(A567,"yyyy-mm-dd"))</f>
        <v/>
      </c>
      <c r="C567" s="5">
        <f>IF(A567="","",TEXT(A567,"ddd"))</f>
        <v/>
      </c>
      <c r="D567" s="5">
        <f>IF(A567="","",TEXT(A567,"yyyy-mm"))</f>
        <v/>
      </c>
      <c r="E567" s="5">
        <f>IF(A567="","",IF(A567&lt;Eingabe!$B$5,"",INT((A567-Eingabe!$B$5)/(Eingabe!$B$6*7))+1))</f>
        <v/>
      </c>
      <c r="F567" s="8">
        <f>IF(A567="","",SUMPRODUCT((Eingabe!$B$16:$B$165&lt;&gt;"")*(Eingabe!$J$16:$J$165)*--(A567&gt;=Eingabe!$G$16:$G$165)*--(A567&lt;=Eingabe!$H$16:$H$165)*--(WEEKDAY(A567,2)&lt;=5)))</f>
        <v/>
      </c>
      <c r="G567" s="8">
        <f>IF(A567="","",SUM($F$2:F567))</f>
        <v/>
      </c>
      <c r="H567" s="8">
        <f>IF(A567="","",Eingabe!$B$7-G567)</f>
        <v/>
      </c>
      <c r="I567" s="8">
        <f>IF(A567="","",Eingabe!$B$8-SUMIFS($F$2:F567,$D$2:D567,D567))</f>
        <v/>
      </c>
      <c r="J567" s="8">
        <f>IF(A567="","",IF(E567="",1E+99,IFERROR(VLOOKUP(E567,Eingabe!$D$5:$E$44,2,FALSE),Eingabe!$B$9)))</f>
        <v/>
      </c>
      <c r="K567" s="8">
        <f>IF(A567="","",IF(E567="",1E+99,J567-SUMIFS($F$2:F567,$E$2:E567,E567)))</f>
        <v/>
      </c>
      <c r="L567" s="5">
        <f>IF(A567="","",IF(OR(H567&lt;0,I567&lt;0,K567&lt;0),"UNMOEGLICH","OK"))</f>
        <v/>
      </c>
    </row>
    <row r="568">
      <c r="A568" s="7">
        <f>IF(ROW()-1&lt;=Eingabe!$B$4-Eingabe!$B$3+1,Eingabe!$B$3+ROW()-2,"")</f>
        <v/>
      </c>
      <c r="B568" s="5">
        <f>IF(A568="","",TEXT(A568,"yyyy-mm-dd"))</f>
        <v/>
      </c>
      <c r="C568" s="5">
        <f>IF(A568="","",TEXT(A568,"ddd"))</f>
        <v/>
      </c>
      <c r="D568" s="5">
        <f>IF(A568="","",TEXT(A568,"yyyy-mm"))</f>
        <v/>
      </c>
      <c r="E568" s="5">
        <f>IF(A568="","",IF(A568&lt;Eingabe!$B$5,"",INT((A568-Eingabe!$B$5)/(Eingabe!$B$6*7))+1))</f>
        <v/>
      </c>
      <c r="F568" s="8">
        <f>IF(A568="","",SUMPRODUCT((Eingabe!$B$16:$B$165&lt;&gt;"")*(Eingabe!$J$16:$J$165)*--(A568&gt;=Eingabe!$G$16:$G$165)*--(A568&lt;=Eingabe!$H$16:$H$165)*--(WEEKDAY(A568,2)&lt;=5)))</f>
        <v/>
      </c>
      <c r="G568" s="8">
        <f>IF(A568="","",SUM($F$2:F568))</f>
        <v/>
      </c>
      <c r="H568" s="8">
        <f>IF(A568="","",Eingabe!$B$7-G568)</f>
        <v/>
      </c>
      <c r="I568" s="8">
        <f>IF(A568="","",Eingabe!$B$8-SUMIFS($F$2:F568,$D$2:D568,D568))</f>
        <v/>
      </c>
      <c r="J568" s="8">
        <f>IF(A568="","",IF(E568="",1E+99,IFERROR(VLOOKUP(E568,Eingabe!$D$5:$E$44,2,FALSE),Eingabe!$B$9)))</f>
        <v/>
      </c>
      <c r="K568" s="8">
        <f>IF(A568="","",IF(E568="",1E+99,J568-SUMIFS($F$2:F568,$E$2:E568,E568)))</f>
        <v/>
      </c>
      <c r="L568" s="5">
        <f>IF(A568="","",IF(OR(H568&lt;0,I568&lt;0,K568&lt;0),"UNMOEGLICH","OK"))</f>
        <v/>
      </c>
    </row>
    <row r="569">
      <c r="A569" s="7">
        <f>IF(ROW()-1&lt;=Eingabe!$B$4-Eingabe!$B$3+1,Eingabe!$B$3+ROW()-2,"")</f>
        <v/>
      </c>
      <c r="B569" s="5">
        <f>IF(A569="","",TEXT(A569,"yyyy-mm-dd"))</f>
        <v/>
      </c>
      <c r="C569" s="5">
        <f>IF(A569="","",TEXT(A569,"ddd"))</f>
        <v/>
      </c>
      <c r="D569" s="5">
        <f>IF(A569="","",TEXT(A569,"yyyy-mm"))</f>
        <v/>
      </c>
      <c r="E569" s="5">
        <f>IF(A569="","",IF(A569&lt;Eingabe!$B$5,"",INT((A569-Eingabe!$B$5)/(Eingabe!$B$6*7))+1))</f>
        <v/>
      </c>
      <c r="F569" s="8">
        <f>IF(A569="","",SUMPRODUCT((Eingabe!$B$16:$B$165&lt;&gt;"")*(Eingabe!$J$16:$J$165)*--(A569&gt;=Eingabe!$G$16:$G$165)*--(A569&lt;=Eingabe!$H$16:$H$165)*--(WEEKDAY(A569,2)&lt;=5)))</f>
        <v/>
      </c>
      <c r="G569" s="8">
        <f>IF(A569="","",SUM($F$2:F569))</f>
        <v/>
      </c>
      <c r="H569" s="8">
        <f>IF(A569="","",Eingabe!$B$7-G569)</f>
        <v/>
      </c>
      <c r="I569" s="8">
        <f>IF(A569="","",Eingabe!$B$8-SUMIFS($F$2:F569,$D$2:D569,D569))</f>
        <v/>
      </c>
      <c r="J569" s="8">
        <f>IF(A569="","",IF(E569="",1E+99,IFERROR(VLOOKUP(E569,Eingabe!$D$5:$E$44,2,FALSE),Eingabe!$B$9)))</f>
        <v/>
      </c>
      <c r="K569" s="8">
        <f>IF(A569="","",IF(E569="",1E+99,J569-SUMIFS($F$2:F569,$E$2:E569,E569)))</f>
        <v/>
      </c>
      <c r="L569" s="5">
        <f>IF(A569="","",IF(OR(H569&lt;0,I569&lt;0,K569&lt;0),"UNMOEGLICH","OK"))</f>
        <v/>
      </c>
    </row>
    <row r="570">
      <c r="A570" s="7">
        <f>IF(ROW()-1&lt;=Eingabe!$B$4-Eingabe!$B$3+1,Eingabe!$B$3+ROW()-2,"")</f>
        <v/>
      </c>
      <c r="B570" s="5">
        <f>IF(A570="","",TEXT(A570,"yyyy-mm-dd"))</f>
        <v/>
      </c>
      <c r="C570" s="5">
        <f>IF(A570="","",TEXT(A570,"ddd"))</f>
        <v/>
      </c>
      <c r="D570" s="5">
        <f>IF(A570="","",TEXT(A570,"yyyy-mm"))</f>
        <v/>
      </c>
      <c r="E570" s="5">
        <f>IF(A570="","",IF(A570&lt;Eingabe!$B$5,"",INT((A570-Eingabe!$B$5)/(Eingabe!$B$6*7))+1))</f>
        <v/>
      </c>
      <c r="F570" s="8">
        <f>IF(A570="","",SUMPRODUCT((Eingabe!$B$16:$B$165&lt;&gt;"")*(Eingabe!$J$16:$J$165)*--(A570&gt;=Eingabe!$G$16:$G$165)*--(A570&lt;=Eingabe!$H$16:$H$165)*--(WEEKDAY(A570,2)&lt;=5)))</f>
        <v/>
      </c>
      <c r="G570" s="8">
        <f>IF(A570="","",SUM($F$2:F570))</f>
        <v/>
      </c>
      <c r="H570" s="8">
        <f>IF(A570="","",Eingabe!$B$7-G570)</f>
        <v/>
      </c>
      <c r="I570" s="8">
        <f>IF(A570="","",Eingabe!$B$8-SUMIFS($F$2:F570,$D$2:D570,D570))</f>
        <v/>
      </c>
      <c r="J570" s="8">
        <f>IF(A570="","",IF(E570="",1E+99,IFERROR(VLOOKUP(E570,Eingabe!$D$5:$E$44,2,FALSE),Eingabe!$B$9)))</f>
        <v/>
      </c>
      <c r="K570" s="8">
        <f>IF(A570="","",IF(E570="",1E+99,J570-SUMIFS($F$2:F570,$E$2:E570,E570)))</f>
        <v/>
      </c>
      <c r="L570" s="5">
        <f>IF(A570="","",IF(OR(H570&lt;0,I570&lt;0,K570&lt;0),"UNMOEGLICH","OK"))</f>
        <v/>
      </c>
    </row>
    <row r="571">
      <c r="A571" s="7">
        <f>IF(ROW()-1&lt;=Eingabe!$B$4-Eingabe!$B$3+1,Eingabe!$B$3+ROW()-2,"")</f>
        <v/>
      </c>
      <c r="B571" s="5">
        <f>IF(A571="","",TEXT(A571,"yyyy-mm-dd"))</f>
        <v/>
      </c>
      <c r="C571" s="5">
        <f>IF(A571="","",TEXT(A571,"ddd"))</f>
        <v/>
      </c>
      <c r="D571" s="5">
        <f>IF(A571="","",TEXT(A571,"yyyy-mm"))</f>
        <v/>
      </c>
      <c r="E571" s="5">
        <f>IF(A571="","",IF(A571&lt;Eingabe!$B$5,"",INT((A571-Eingabe!$B$5)/(Eingabe!$B$6*7))+1))</f>
        <v/>
      </c>
      <c r="F571" s="8">
        <f>IF(A571="","",SUMPRODUCT((Eingabe!$B$16:$B$165&lt;&gt;"")*(Eingabe!$J$16:$J$165)*--(A571&gt;=Eingabe!$G$16:$G$165)*--(A571&lt;=Eingabe!$H$16:$H$165)*--(WEEKDAY(A571,2)&lt;=5)))</f>
        <v/>
      </c>
      <c r="G571" s="8">
        <f>IF(A571="","",SUM($F$2:F571))</f>
        <v/>
      </c>
      <c r="H571" s="8">
        <f>IF(A571="","",Eingabe!$B$7-G571)</f>
        <v/>
      </c>
      <c r="I571" s="8">
        <f>IF(A571="","",Eingabe!$B$8-SUMIFS($F$2:F571,$D$2:D571,D571))</f>
        <v/>
      </c>
      <c r="J571" s="8">
        <f>IF(A571="","",IF(E571="",1E+99,IFERROR(VLOOKUP(E571,Eingabe!$D$5:$E$44,2,FALSE),Eingabe!$B$9)))</f>
        <v/>
      </c>
      <c r="K571" s="8">
        <f>IF(A571="","",IF(E571="",1E+99,J571-SUMIFS($F$2:F571,$E$2:E571,E571)))</f>
        <v/>
      </c>
      <c r="L571" s="5">
        <f>IF(A571="","",IF(OR(H571&lt;0,I571&lt;0,K571&lt;0),"UNMOEGLICH","OK"))</f>
        <v/>
      </c>
    </row>
    <row r="572">
      <c r="A572" s="7">
        <f>IF(ROW()-1&lt;=Eingabe!$B$4-Eingabe!$B$3+1,Eingabe!$B$3+ROW()-2,"")</f>
        <v/>
      </c>
      <c r="B572" s="5">
        <f>IF(A572="","",TEXT(A572,"yyyy-mm-dd"))</f>
        <v/>
      </c>
      <c r="C572" s="5">
        <f>IF(A572="","",TEXT(A572,"ddd"))</f>
        <v/>
      </c>
      <c r="D572" s="5">
        <f>IF(A572="","",TEXT(A572,"yyyy-mm"))</f>
        <v/>
      </c>
      <c r="E572" s="5">
        <f>IF(A572="","",IF(A572&lt;Eingabe!$B$5,"",INT((A572-Eingabe!$B$5)/(Eingabe!$B$6*7))+1))</f>
        <v/>
      </c>
      <c r="F572" s="8">
        <f>IF(A572="","",SUMPRODUCT((Eingabe!$B$16:$B$165&lt;&gt;"")*(Eingabe!$J$16:$J$165)*--(A572&gt;=Eingabe!$G$16:$G$165)*--(A572&lt;=Eingabe!$H$16:$H$165)*--(WEEKDAY(A572,2)&lt;=5)))</f>
        <v/>
      </c>
      <c r="G572" s="8">
        <f>IF(A572="","",SUM($F$2:F572))</f>
        <v/>
      </c>
      <c r="H572" s="8">
        <f>IF(A572="","",Eingabe!$B$7-G572)</f>
        <v/>
      </c>
      <c r="I572" s="8">
        <f>IF(A572="","",Eingabe!$B$8-SUMIFS($F$2:F572,$D$2:D572,D572))</f>
        <v/>
      </c>
      <c r="J572" s="8">
        <f>IF(A572="","",IF(E572="",1E+99,IFERROR(VLOOKUP(E572,Eingabe!$D$5:$E$44,2,FALSE),Eingabe!$B$9)))</f>
        <v/>
      </c>
      <c r="K572" s="8">
        <f>IF(A572="","",IF(E572="",1E+99,J572-SUMIFS($F$2:F572,$E$2:E572,E572)))</f>
        <v/>
      </c>
      <c r="L572" s="5">
        <f>IF(A572="","",IF(OR(H572&lt;0,I572&lt;0,K572&lt;0),"UNMOEGLICH","OK"))</f>
        <v/>
      </c>
    </row>
    <row r="573">
      <c r="A573" s="7">
        <f>IF(ROW()-1&lt;=Eingabe!$B$4-Eingabe!$B$3+1,Eingabe!$B$3+ROW()-2,"")</f>
        <v/>
      </c>
      <c r="B573" s="5">
        <f>IF(A573="","",TEXT(A573,"yyyy-mm-dd"))</f>
        <v/>
      </c>
      <c r="C573" s="5">
        <f>IF(A573="","",TEXT(A573,"ddd"))</f>
        <v/>
      </c>
      <c r="D573" s="5">
        <f>IF(A573="","",TEXT(A573,"yyyy-mm"))</f>
        <v/>
      </c>
      <c r="E573" s="5">
        <f>IF(A573="","",IF(A573&lt;Eingabe!$B$5,"",INT((A573-Eingabe!$B$5)/(Eingabe!$B$6*7))+1))</f>
        <v/>
      </c>
      <c r="F573" s="8">
        <f>IF(A573="","",SUMPRODUCT((Eingabe!$B$16:$B$165&lt;&gt;"")*(Eingabe!$J$16:$J$165)*--(A573&gt;=Eingabe!$G$16:$G$165)*--(A573&lt;=Eingabe!$H$16:$H$165)*--(WEEKDAY(A573,2)&lt;=5)))</f>
        <v/>
      </c>
      <c r="G573" s="8">
        <f>IF(A573="","",SUM($F$2:F573))</f>
        <v/>
      </c>
      <c r="H573" s="8">
        <f>IF(A573="","",Eingabe!$B$7-G573)</f>
        <v/>
      </c>
      <c r="I573" s="8">
        <f>IF(A573="","",Eingabe!$B$8-SUMIFS($F$2:F573,$D$2:D573,D573))</f>
        <v/>
      </c>
      <c r="J573" s="8">
        <f>IF(A573="","",IF(E573="",1E+99,IFERROR(VLOOKUP(E573,Eingabe!$D$5:$E$44,2,FALSE),Eingabe!$B$9)))</f>
        <v/>
      </c>
      <c r="K573" s="8">
        <f>IF(A573="","",IF(E573="",1E+99,J573-SUMIFS($F$2:F573,$E$2:E573,E573)))</f>
        <v/>
      </c>
      <c r="L573" s="5">
        <f>IF(A573="","",IF(OR(H573&lt;0,I573&lt;0,K573&lt;0),"UNMOEGLICH","OK"))</f>
        <v/>
      </c>
    </row>
    <row r="574">
      <c r="A574" s="7">
        <f>IF(ROW()-1&lt;=Eingabe!$B$4-Eingabe!$B$3+1,Eingabe!$B$3+ROW()-2,"")</f>
        <v/>
      </c>
      <c r="B574" s="5">
        <f>IF(A574="","",TEXT(A574,"yyyy-mm-dd"))</f>
        <v/>
      </c>
      <c r="C574" s="5">
        <f>IF(A574="","",TEXT(A574,"ddd"))</f>
        <v/>
      </c>
      <c r="D574" s="5">
        <f>IF(A574="","",TEXT(A574,"yyyy-mm"))</f>
        <v/>
      </c>
      <c r="E574" s="5">
        <f>IF(A574="","",IF(A574&lt;Eingabe!$B$5,"",INT((A574-Eingabe!$B$5)/(Eingabe!$B$6*7))+1))</f>
        <v/>
      </c>
      <c r="F574" s="8">
        <f>IF(A574="","",SUMPRODUCT((Eingabe!$B$16:$B$165&lt;&gt;"")*(Eingabe!$J$16:$J$165)*--(A574&gt;=Eingabe!$G$16:$G$165)*--(A574&lt;=Eingabe!$H$16:$H$165)*--(WEEKDAY(A574,2)&lt;=5)))</f>
        <v/>
      </c>
      <c r="G574" s="8">
        <f>IF(A574="","",SUM($F$2:F574))</f>
        <v/>
      </c>
      <c r="H574" s="8">
        <f>IF(A574="","",Eingabe!$B$7-G574)</f>
        <v/>
      </c>
      <c r="I574" s="8">
        <f>IF(A574="","",Eingabe!$B$8-SUMIFS($F$2:F574,$D$2:D574,D574))</f>
        <v/>
      </c>
      <c r="J574" s="8">
        <f>IF(A574="","",IF(E574="",1E+99,IFERROR(VLOOKUP(E574,Eingabe!$D$5:$E$44,2,FALSE),Eingabe!$B$9)))</f>
        <v/>
      </c>
      <c r="K574" s="8">
        <f>IF(A574="","",IF(E574="",1E+99,J574-SUMIFS($F$2:F574,$E$2:E574,E574)))</f>
        <v/>
      </c>
      <c r="L574" s="5">
        <f>IF(A574="","",IF(OR(H574&lt;0,I574&lt;0,K574&lt;0),"UNMOEGLICH","OK"))</f>
        <v/>
      </c>
    </row>
    <row r="575">
      <c r="A575" s="7">
        <f>IF(ROW()-1&lt;=Eingabe!$B$4-Eingabe!$B$3+1,Eingabe!$B$3+ROW()-2,"")</f>
        <v/>
      </c>
      <c r="B575" s="5">
        <f>IF(A575="","",TEXT(A575,"yyyy-mm-dd"))</f>
        <v/>
      </c>
      <c r="C575" s="5">
        <f>IF(A575="","",TEXT(A575,"ddd"))</f>
        <v/>
      </c>
      <c r="D575" s="5">
        <f>IF(A575="","",TEXT(A575,"yyyy-mm"))</f>
        <v/>
      </c>
      <c r="E575" s="5">
        <f>IF(A575="","",IF(A575&lt;Eingabe!$B$5,"",INT((A575-Eingabe!$B$5)/(Eingabe!$B$6*7))+1))</f>
        <v/>
      </c>
      <c r="F575" s="8">
        <f>IF(A575="","",SUMPRODUCT((Eingabe!$B$16:$B$165&lt;&gt;"")*(Eingabe!$J$16:$J$165)*--(A575&gt;=Eingabe!$G$16:$G$165)*--(A575&lt;=Eingabe!$H$16:$H$165)*--(WEEKDAY(A575,2)&lt;=5)))</f>
        <v/>
      </c>
      <c r="G575" s="8">
        <f>IF(A575="","",SUM($F$2:F575))</f>
        <v/>
      </c>
      <c r="H575" s="8">
        <f>IF(A575="","",Eingabe!$B$7-G575)</f>
        <v/>
      </c>
      <c r="I575" s="8">
        <f>IF(A575="","",Eingabe!$B$8-SUMIFS($F$2:F575,$D$2:D575,D575))</f>
        <v/>
      </c>
      <c r="J575" s="8">
        <f>IF(A575="","",IF(E575="",1E+99,IFERROR(VLOOKUP(E575,Eingabe!$D$5:$E$44,2,FALSE),Eingabe!$B$9)))</f>
        <v/>
      </c>
      <c r="K575" s="8">
        <f>IF(A575="","",IF(E575="",1E+99,J575-SUMIFS($F$2:F575,$E$2:E575,E575)))</f>
        <v/>
      </c>
      <c r="L575" s="5">
        <f>IF(A575="","",IF(OR(H575&lt;0,I575&lt;0,K575&lt;0),"UNMOEGLICH","OK"))</f>
        <v/>
      </c>
    </row>
    <row r="576">
      <c r="A576" s="7">
        <f>IF(ROW()-1&lt;=Eingabe!$B$4-Eingabe!$B$3+1,Eingabe!$B$3+ROW()-2,"")</f>
        <v/>
      </c>
      <c r="B576" s="5">
        <f>IF(A576="","",TEXT(A576,"yyyy-mm-dd"))</f>
        <v/>
      </c>
      <c r="C576" s="5">
        <f>IF(A576="","",TEXT(A576,"ddd"))</f>
        <v/>
      </c>
      <c r="D576" s="5">
        <f>IF(A576="","",TEXT(A576,"yyyy-mm"))</f>
        <v/>
      </c>
      <c r="E576" s="5">
        <f>IF(A576="","",IF(A576&lt;Eingabe!$B$5,"",INT((A576-Eingabe!$B$5)/(Eingabe!$B$6*7))+1))</f>
        <v/>
      </c>
      <c r="F576" s="8">
        <f>IF(A576="","",SUMPRODUCT((Eingabe!$B$16:$B$165&lt;&gt;"")*(Eingabe!$J$16:$J$165)*--(A576&gt;=Eingabe!$G$16:$G$165)*--(A576&lt;=Eingabe!$H$16:$H$165)*--(WEEKDAY(A576,2)&lt;=5)))</f>
        <v/>
      </c>
      <c r="G576" s="8">
        <f>IF(A576="","",SUM($F$2:F576))</f>
        <v/>
      </c>
      <c r="H576" s="8">
        <f>IF(A576="","",Eingabe!$B$7-G576)</f>
        <v/>
      </c>
      <c r="I576" s="8">
        <f>IF(A576="","",Eingabe!$B$8-SUMIFS($F$2:F576,$D$2:D576,D576))</f>
        <v/>
      </c>
      <c r="J576" s="8">
        <f>IF(A576="","",IF(E576="",1E+99,IFERROR(VLOOKUP(E576,Eingabe!$D$5:$E$44,2,FALSE),Eingabe!$B$9)))</f>
        <v/>
      </c>
      <c r="K576" s="8">
        <f>IF(A576="","",IF(E576="",1E+99,J576-SUMIFS($F$2:F576,$E$2:E576,E576)))</f>
        <v/>
      </c>
      <c r="L576" s="5">
        <f>IF(A576="","",IF(OR(H576&lt;0,I576&lt;0,K576&lt;0),"UNMOEGLICH","OK"))</f>
        <v/>
      </c>
    </row>
    <row r="577">
      <c r="A577" s="7">
        <f>IF(ROW()-1&lt;=Eingabe!$B$4-Eingabe!$B$3+1,Eingabe!$B$3+ROW()-2,"")</f>
        <v/>
      </c>
      <c r="B577" s="5">
        <f>IF(A577="","",TEXT(A577,"yyyy-mm-dd"))</f>
        <v/>
      </c>
      <c r="C577" s="5">
        <f>IF(A577="","",TEXT(A577,"ddd"))</f>
        <v/>
      </c>
      <c r="D577" s="5">
        <f>IF(A577="","",TEXT(A577,"yyyy-mm"))</f>
        <v/>
      </c>
      <c r="E577" s="5">
        <f>IF(A577="","",IF(A577&lt;Eingabe!$B$5,"",INT((A577-Eingabe!$B$5)/(Eingabe!$B$6*7))+1))</f>
        <v/>
      </c>
      <c r="F577" s="8">
        <f>IF(A577="","",SUMPRODUCT((Eingabe!$B$16:$B$165&lt;&gt;"")*(Eingabe!$J$16:$J$165)*--(A577&gt;=Eingabe!$G$16:$G$165)*--(A577&lt;=Eingabe!$H$16:$H$165)*--(WEEKDAY(A577,2)&lt;=5)))</f>
        <v/>
      </c>
      <c r="G577" s="8">
        <f>IF(A577="","",SUM($F$2:F577))</f>
        <v/>
      </c>
      <c r="H577" s="8">
        <f>IF(A577="","",Eingabe!$B$7-G577)</f>
        <v/>
      </c>
      <c r="I577" s="8">
        <f>IF(A577="","",Eingabe!$B$8-SUMIFS($F$2:F577,$D$2:D577,D577))</f>
        <v/>
      </c>
      <c r="J577" s="8">
        <f>IF(A577="","",IF(E577="",1E+99,IFERROR(VLOOKUP(E577,Eingabe!$D$5:$E$44,2,FALSE),Eingabe!$B$9)))</f>
        <v/>
      </c>
      <c r="K577" s="8">
        <f>IF(A577="","",IF(E577="",1E+99,J577-SUMIFS($F$2:F577,$E$2:E577,E577)))</f>
        <v/>
      </c>
      <c r="L577" s="5">
        <f>IF(A577="","",IF(OR(H577&lt;0,I577&lt;0,K577&lt;0),"UNMOEGLICH","OK"))</f>
        <v/>
      </c>
    </row>
    <row r="578">
      <c r="A578" s="7">
        <f>IF(ROW()-1&lt;=Eingabe!$B$4-Eingabe!$B$3+1,Eingabe!$B$3+ROW()-2,"")</f>
        <v/>
      </c>
      <c r="B578" s="5">
        <f>IF(A578="","",TEXT(A578,"yyyy-mm-dd"))</f>
        <v/>
      </c>
      <c r="C578" s="5">
        <f>IF(A578="","",TEXT(A578,"ddd"))</f>
        <v/>
      </c>
      <c r="D578" s="5">
        <f>IF(A578="","",TEXT(A578,"yyyy-mm"))</f>
        <v/>
      </c>
      <c r="E578" s="5">
        <f>IF(A578="","",IF(A578&lt;Eingabe!$B$5,"",INT((A578-Eingabe!$B$5)/(Eingabe!$B$6*7))+1))</f>
        <v/>
      </c>
      <c r="F578" s="8">
        <f>IF(A578="","",SUMPRODUCT((Eingabe!$B$16:$B$165&lt;&gt;"")*(Eingabe!$J$16:$J$165)*--(A578&gt;=Eingabe!$G$16:$G$165)*--(A578&lt;=Eingabe!$H$16:$H$165)*--(WEEKDAY(A578,2)&lt;=5)))</f>
        <v/>
      </c>
      <c r="G578" s="8">
        <f>IF(A578="","",SUM($F$2:F578))</f>
        <v/>
      </c>
      <c r="H578" s="8">
        <f>IF(A578="","",Eingabe!$B$7-G578)</f>
        <v/>
      </c>
      <c r="I578" s="8">
        <f>IF(A578="","",Eingabe!$B$8-SUMIFS($F$2:F578,$D$2:D578,D578))</f>
        <v/>
      </c>
      <c r="J578" s="8">
        <f>IF(A578="","",IF(E578="",1E+99,IFERROR(VLOOKUP(E578,Eingabe!$D$5:$E$44,2,FALSE),Eingabe!$B$9)))</f>
        <v/>
      </c>
      <c r="K578" s="8">
        <f>IF(A578="","",IF(E578="",1E+99,J578-SUMIFS($F$2:F578,$E$2:E578,E578)))</f>
        <v/>
      </c>
      <c r="L578" s="5">
        <f>IF(A578="","",IF(OR(H578&lt;0,I578&lt;0,K578&lt;0),"UNMOEGLICH","OK"))</f>
        <v/>
      </c>
    </row>
    <row r="579">
      <c r="A579" s="7">
        <f>IF(ROW()-1&lt;=Eingabe!$B$4-Eingabe!$B$3+1,Eingabe!$B$3+ROW()-2,"")</f>
        <v/>
      </c>
      <c r="B579" s="5">
        <f>IF(A579="","",TEXT(A579,"yyyy-mm-dd"))</f>
        <v/>
      </c>
      <c r="C579" s="5">
        <f>IF(A579="","",TEXT(A579,"ddd"))</f>
        <v/>
      </c>
      <c r="D579" s="5">
        <f>IF(A579="","",TEXT(A579,"yyyy-mm"))</f>
        <v/>
      </c>
      <c r="E579" s="5">
        <f>IF(A579="","",IF(A579&lt;Eingabe!$B$5,"",INT((A579-Eingabe!$B$5)/(Eingabe!$B$6*7))+1))</f>
        <v/>
      </c>
      <c r="F579" s="8">
        <f>IF(A579="","",SUMPRODUCT((Eingabe!$B$16:$B$165&lt;&gt;"")*(Eingabe!$J$16:$J$165)*--(A579&gt;=Eingabe!$G$16:$G$165)*--(A579&lt;=Eingabe!$H$16:$H$165)*--(WEEKDAY(A579,2)&lt;=5)))</f>
        <v/>
      </c>
      <c r="G579" s="8">
        <f>IF(A579="","",SUM($F$2:F579))</f>
        <v/>
      </c>
      <c r="H579" s="8">
        <f>IF(A579="","",Eingabe!$B$7-G579)</f>
        <v/>
      </c>
      <c r="I579" s="8">
        <f>IF(A579="","",Eingabe!$B$8-SUMIFS($F$2:F579,$D$2:D579,D579))</f>
        <v/>
      </c>
      <c r="J579" s="8">
        <f>IF(A579="","",IF(E579="",1E+99,IFERROR(VLOOKUP(E579,Eingabe!$D$5:$E$44,2,FALSE),Eingabe!$B$9)))</f>
        <v/>
      </c>
      <c r="K579" s="8">
        <f>IF(A579="","",IF(E579="",1E+99,J579-SUMIFS($F$2:F579,$E$2:E579,E579)))</f>
        <v/>
      </c>
      <c r="L579" s="5">
        <f>IF(A579="","",IF(OR(H579&lt;0,I579&lt;0,K579&lt;0),"UNMOEGLICH","OK"))</f>
        <v/>
      </c>
    </row>
    <row r="580">
      <c r="A580" s="7">
        <f>IF(ROW()-1&lt;=Eingabe!$B$4-Eingabe!$B$3+1,Eingabe!$B$3+ROW()-2,"")</f>
        <v/>
      </c>
      <c r="B580" s="5">
        <f>IF(A580="","",TEXT(A580,"yyyy-mm-dd"))</f>
        <v/>
      </c>
      <c r="C580" s="5">
        <f>IF(A580="","",TEXT(A580,"ddd"))</f>
        <v/>
      </c>
      <c r="D580" s="5">
        <f>IF(A580="","",TEXT(A580,"yyyy-mm"))</f>
        <v/>
      </c>
      <c r="E580" s="5">
        <f>IF(A580="","",IF(A580&lt;Eingabe!$B$5,"",INT((A580-Eingabe!$B$5)/(Eingabe!$B$6*7))+1))</f>
        <v/>
      </c>
      <c r="F580" s="8">
        <f>IF(A580="","",SUMPRODUCT((Eingabe!$B$16:$B$165&lt;&gt;"")*(Eingabe!$J$16:$J$165)*--(A580&gt;=Eingabe!$G$16:$G$165)*--(A580&lt;=Eingabe!$H$16:$H$165)*--(WEEKDAY(A580,2)&lt;=5)))</f>
        <v/>
      </c>
      <c r="G580" s="8">
        <f>IF(A580="","",SUM($F$2:F580))</f>
        <v/>
      </c>
      <c r="H580" s="8">
        <f>IF(A580="","",Eingabe!$B$7-G580)</f>
        <v/>
      </c>
      <c r="I580" s="8">
        <f>IF(A580="","",Eingabe!$B$8-SUMIFS($F$2:F580,$D$2:D580,D580))</f>
        <v/>
      </c>
      <c r="J580" s="8">
        <f>IF(A580="","",IF(E580="",1E+99,IFERROR(VLOOKUP(E580,Eingabe!$D$5:$E$44,2,FALSE),Eingabe!$B$9)))</f>
        <v/>
      </c>
      <c r="K580" s="8">
        <f>IF(A580="","",IF(E580="",1E+99,J580-SUMIFS($F$2:F580,$E$2:E580,E580)))</f>
        <v/>
      </c>
      <c r="L580" s="5">
        <f>IF(A580="","",IF(OR(H580&lt;0,I580&lt;0,K580&lt;0),"UNMOEGLICH","OK"))</f>
        <v/>
      </c>
    </row>
    <row r="581">
      <c r="A581" s="7">
        <f>IF(ROW()-1&lt;=Eingabe!$B$4-Eingabe!$B$3+1,Eingabe!$B$3+ROW()-2,"")</f>
        <v/>
      </c>
      <c r="B581" s="5">
        <f>IF(A581="","",TEXT(A581,"yyyy-mm-dd"))</f>
        <v/>
      </c>
      <c r="C581" s="5">
        <f>IF(A581="","",TEXT(A581,"ddd"))</f>
        <v/>
      </c>
      <c r="D581" s="5">
        <f>IF(A581="","",TEXT(A581,"yyyy-mm"))</f>
        <v/>
      </c>
      <c r="E581" s="5">
        <f>IF(A581="","",IF(A581&lt;Eingabe!$B$5,"",INT((A581-Eingabe!$B$5)/(Eingabe!$B$6*7))+1))</f>
        <v/>
      </c>
      <c r="F581" s="8">
        <f>IF(A581="","",SUMPRODUCT((Eingabe!$B$16:$B$165&lt;&gt;"")*(Eingabe!$J$16:$J$165)*--(A581&gt;=Eingabe!$G$16:$G$165)*--(A581&lt;=Eingabe!$H$16:$H$165)*--(WEEKDAY(A581,2)&lt;=5)))</f>
        <v/>
      </c>
      <c r="G581" s="8">
        <f>IF(A581="","",SUM($F$2:F581))</f>
        <v/>
      </c>
      <c r="H581" s="8">
        <f>IF(A581="","",Eingabe!$B$7-G581)</f>
        <v/>
      </c>
      <c r="I581" s="8">
        <f>IF(A581="","",Eingabe!$B$8-SUMIFS($F$2:F581,$D$2:D581,D581))</f>
        <v/>
      </c>
      <c r="J581" s="8">
        <f>IF(A581="","",IF(E581="",1E+99,IFERROR(VLOOKUP(E581,Eingabe!$D$5:$E$44,2,FALSE),Eingabe!$B$9)))</f>
        <v/>
      </c>
      <c r="K581" s="8">
        <f>IF(A581="","",IF(E581="",1E+99,J581-SUMIFS($F$2:F581,$E$2:E581,E581)))</f>
        <v/>
      </c>
      <c r="L581" s="5">
        <f>IF(A581="","",IF(OR(H581&lt;0,I581&lt;0,K581&lt;0),"UNMOEGLICH","OK"))</f>
        <v/>
      </c>
    </row>
    <row r="582">
      <c r="A582" s="7">
        <f>IF(ROW()-1&lt;=Eingabe!$B$4-Eingabe!$B$3+1,Eingabe!$B$3+ROW()-2,"")</f>
        <v/>
      </c>
      <c r="B582" s="5">
        <f>IF(A582="","",TEXT(A582,"yyyy-mm-dd"))</f>
        <v/>
      </c>
      <c r="C582" s="5">
        <f>IF(A582="","",TEXT(A582,"ddd"))</f>
        <v/>
      </c>
      <c r="D582" s="5">
        <f>IF(A582="","",TEXT(A582,"yyyy-mm"))</f>
        <v/>
      </c>
      <c r="E582" s="5">
        <f>IF(A582="","",IF(A582&lt;Eingabe!$B$5,"",INT((A582-Eingabe!$B$5)/(Eingabe!$B$6*7))+1))</f>
        <v/>
      </c>
      <c r="F582" s="8">
        <f>IF(A582="","",SUMPRODUCT((Eingabe!$B$16:$B$165&lt;&gt;"")*(Eingabe!$J$16:$J$165)*--(A582&gt;=Eingabe!$G$16:$G$165)*--(A582&lt;=Eingabe!$H$16:$H$165)*--(WEEKDAY(A582,2)&lt;=5)))</f>
        <v/>
      </c>
      <c r="G582" s="8">
        <f>IF(A582="","",SUM($F$2:F582))</f>
        <v/>
      </c>
      <c r="H582" s="8">
        <f>IF(A582="","",Eingabe!$B$7-G582)</f>
        <v/>
      </c>
      <c r="I582" s="8">
        <f>IF(A582="","",Eingabe!$B$8-SUMIFS($F$2:F582,$D$2:D582,D582))</f>
        <v/>
      </c>
      <c r="J582" s="8">
        <f>IF(A582="","",IF(E582="",1E+99,IFERROR(VLOOKUP(E582,Eingabe!$D$5:$E$44,2,FALSE),Eingabe!$B$9)))</f>
        <v/>
      </c>
      <c r="K582" s="8">
        <f>IF(A582="","",IF(E582="",1E+99,J582-SUMIFS($F$2:F582,$E$2:E582,E582)))</f>
        <v/>
      </c>
      <c r="L582" s="5">
        <f>IF(A582="","",IF(OR(H582&lt;0,I582&lt;0,K582&lt;0),"UNMOEGLICH","OK"))</f>
        <v/>
      </c>
    </row>
    <row r="583">
      <c r="A583" s="7">
        <f>IF(ROW()-1&lt;=Eingabe!$B$4-Eingabe!$B$3+1,Eingabe!$B$3+ROW()-2,"")</f>
        <v/>
      </c>
      <c r="B583" s="5">
        <f>IF(A583="","",TEXT(A583,"yyyy-mm-dd"))</f>
        <v/>
      </c>
      <c r="C583" s="5">
        <f>IF(A583="","",TEXT(A583,"ddd"))</f>
        <v/>
      </c>
      <c r="D583" s="5">
        <f>IF(A583="","",TEXT(A583,"yyyy-mm"))</f>
        <v/>
      </c>
      <c r="E583" s="5">
        <f>IF(A583="","",IF(A583&lt;Eingabe!$B$5,"",INT((A583-Eingabe!$B$5)/(Eingabe!$B$6*7))+1))</f>
        <v/>
      </c>
      <c r="F583" s="8">
        <f>IF(A583="","",SUMPRODUCT((Eingabe!$B$16:$B$165&lt;&gt;"")*(Eingabe!$J$16:$J$165)*--(A583&gt;=Eingabe!$G$16:$G$165)*--(A583&lt;=Eingabe!$H$16:$H$165)*--(WEEKDAY(A583,2)&lt;=5)))</f>
        <v/>
      </c>
      <c r="G583" s="8">
        <f>IF(A583="","",SUM($F$2:F583))</f>
        <v/>
      </c>
      <c r="H583" s="8">
        <f>IF(A583="","",Eingabe!$B$7-G583)</f>
        <v/>
      </c>
      <c r="I583" s="8">
        <f>IF(A583="","",Eingabe!$B$8-SUMIFS($F$2:F583,$D$2:D583,D583))</f>
        <v/>
      </c>
      <c r="J583" s="8">
        <f>IF(A583="","",IF(E583="",1E+99,IFERROR(VLOOKUP(E583,Eingabe!$D$5:$E$44,2,FALSE),Eingabe!$B$9)))</f>
        <v/>
      </c>
      <c r="K583" s="8">
        <f>IF(A583="","",IF(E583="",1E+99,J583-SUMIFS($F$2:F583,$E$2:E583,E583)))</f>
        <v/>
      </c>
      <c r="L583" s="5">
        <f>IF(A583="","",IF(OR(H583&lt;0,I583&lt;0,K583&lt;0),"UNMOEGLICH","OK"))</f>
        <v/>
      </c>
    </row>
    <row r="584">
      <c r="A584" s="7">
        <f>IF(ROW()-1&lt;=Eingabe!$B$4-Eingabe!$B$3+1,Eingabe!$B$3+ROW()-2,"")</f>
        <v/>
      </c>
      <c r="B584" s="5">
        <f>IF(A584="","",TEXT(A584,"yyyy-mm-dd"))</f>
        <v/>
      </c>
      <c r="C584" s="5">
        <f>IF(A584="","",TEXT(A584,"ddd"))</f>
        <v/>
      </c>
      <c r="D584" s="5">
        <f>IF(A584="","",TEXT(A584,"yyyy-mm"))</f>
        <v/>
      </c>
      <c r="E584" s="5">
        <f>IF(A584="","",IF(A584&lt;Eingabe!$B$5,"",INT((A584-Eingabe!$B$5)/(Eingabe!$B$6*7))+1))</f>
        <v/>
      </c>
      <c r="F584" s="8">
        <f>IF(A584="","",SUMPRODUCT((Eingabe!$B$16:$B$165&lt;&gt;"")*(Eingabe!$J$16:$J$165)*--(A584&gt;=Eingabe!$G$16:$G$165)*--(A584&lt;=Eingabe!$H$16:$H$165)*--(WEEKDAY(A584,2)&lt;=5)))</f>
        <v/>
      </c>
      <c r="G584" s="8">
        <f>IF(A584="","",SUM($F$2:F584))</f>
        <v/>
      </c>
      <c r="H584" s="8">
        <f>IF(A584="","",Eingabe!$B$7-G584)</f>
        <v/>
      </c>
      <c r="I584" s="8">
        <f>IF(A584="","",Eingabe!$B$8-SUMIFS($F$2:F584,$D$2:D584,D584))</f>
        <v/>
      </c>
      <c r="J584" s="8">
        <f>IF(A584="","",IF(E584="",1E+99,IFERROR(VLOOKUP(E584,Eingabe!$D$5:$E$44,2,FALSE),Eingabe!$B$9)))</f>
        <v/>
      </c>
      <c r="K584" s="8">
        <f>IF(A584="","",IF(E584="",1E+99,J584-SUMIFS($F$2:F584,$E$2:E584,E584)))</f>
        <v/>
      </c>
      <c r="L584" s="5">
        <f>IF(A584="","",IF(OR(H584&lt;0,I584&lt;0,K584&lt;0),"UNMOEGLICH","OK"))</f>
        <v/>
      </c>
    </row>
    <row r="585">
      <c r="A585" s="7">
        <f>IF(ROW()-1&lt;=Eingabe!$B$4-Eingabe!$B$3+1,Eingabe!$B$3+ROW()-2,"")</f>
        <v/>
      </c>
      <c r="B585" s="5">
        <f>IF(A585="","",TEXT(A585,"yyyy-mm-dd"))</f>
        <v/>
      </c>
      <c r="C585" s="5">
        <f>IF(A585="","",TEXT(A585,"ddd"))</f>
        <v/>
      </c>
      <c r="D585" s="5">
        <f>IF(A585="","",TEXT(A585,"yyyy-mm"))</f>
        <v/>
      </c>
      <c r="E585" s="5">
        <f>IF(A585="","",IF(A585&lt;Eingabe!$B$5,"",INT((A585-Eingabe!$B$5)/(Eingabe!$B$6*7))+1))</f>
        <v/>
      </c>
      <c r="F585" s="8">
        <f>IF(A585="","",SUMPRODUCT((Eingabe!$B$16:$B$165&lt;&gt;"")*(Eingabe!$J$16:$J$165)*--(A585&gt;=Eingabe!$G$16:$G$165)*--(A585&lt;=Eingabe!$H$16:$H$165)*--(WEEKDAY(A585,2)&lt;=5)))</f>
        <v/>
      </c>
      <c r="G585" s="8">
        <f>IF(A585="","",SUM($F$2:F585))</f>
        <v/>
      </c>
      <c r="H585" s="8">
        <f>IF(A585="","",Eingabe!$B$7-G585)</f>
        <v/>
      </c>
      <c r="I585" s="8">
        <f>IF(A585="","",Eingabe!$B$8-SUMIFS($F$2:F585,$D$2:D585,D585))</f>
        <v/>
      </c>
      <c r="J585" s="8">
        <f>IF(A585="","",IF(E585="",1E+99,IFERROR(VLOOKUP(E585,Eingabe!$D$5:$E$44,2,FALSE),Eingabe!$B$9)))</f>
        <v/>
      </c>
      <c r="K585" s="8">
        <f>IF(A585="","",IF(E585="",1E+99,J585-SUMIFS($F$2:F585,$E$2:E585,E585)))</f>
        <v/>
      </c>
      <c r="L585" s="5">
        <f>IF(A585="","",IF(OR(H585&lt;0,I585&lt;0,K585&lt;0),"UNMOEGLICH","OK"))</f>
        <v/>
      </c>
    </row>
    <row r="586">
      <c r="A586" s="7">
        <f>IF(ROW()-1&lt;=Eingabe!$B$4-Eingabe!$B$3+1,Eingabe!$B$3+ROW()-2,"")</f>
        <v/>
      </c>
      <c r="B586" s="5">
        <f>IF(A586="","",TEXT(A586,"yyyy-mm-dd"))</f>
        <v/>
      </c>
      <c r="C586" s="5">
        <f>IF(A586="","",TEXT(A586,"ddd"))</f>
        <v/>
      </c>
      <c r="D586" s="5">
        <f>IF(A586="","",TEXT(A586,"yyyy-mm"))</f>
        <v/>
      </c>
      <c r="E586" s="5">
        <f>IF(A586="","",IF(A586&lt;Eingabe!$B$5,"",INT((A586-Eingabe!$B$5)/(Eingabe!$B$6*7))+1))</f>
        <v/>
      </c>
      <c r="F586" s="8">
        <f>IF(A586="","",SUMPRODUCT((Eingabe!$B$16:$B$165&lt;&gt;"")*(Eingabe!$J$16:$J$165)*--(A586&gt;=Eingabe!$G$16:$G$165)*--(A586&lt;=Eingabe!$H$16:$H$165)*--(WEEKDAY(A586,2)&lt;=5)))</f>
        <v/>
      </c>
      <c r="G586" s="8">
        <f>IF(A586="","",SUM($F$2:F586))</f>
        <v/>
      </c>
      <c r="H586" s="8">
        <f>IF(A586="","",Eingabe!$B$7-G586)</f>
        <v/>
      </c>
      <c r="I586" s="8">
        <f>IF(A586="","",Eingabe!$B$8-SUMIFS($F$2:F586,$D$2:D586,D586))</f>
        <v/>
      </c>
      <c r="J586" s="8">
        <f>IF(A586="","",IF(E586="",1E+99,IFERROR(VLOOKUP(E586,Eingabe!$D$5:$E$44,2,FALSE),Eingabe!$B$9)))</f>
        <v/>
      </c>
      <c r="K586" s="8">
        <f>IF(A586="","",IF(E586="",1E+99,J586-SUMIFS($F$2:F586,$E$2:E586,E586)))</f>
        <v/>
      </c>
      <c r="L586" s="5">
        <f>IF(A586="","",IF(OR(H586&lt;0,I586&lt;0,K586&lt;0),"UNMOEGLICH","OK"))</f>
        <v/>
      </c>
    </row>
    <row r="587">
      <c r="A587" s="7">
        <f>IF(ROW()-1&lt;=Eingabe!$B$4-Eingabe!$B$3+1,Eingabe!$B$3+ROW()-2,"")</f>
        <v/>
      </c>
      <c r="B587" s="5">
        <f>IF(A587="","",TEXT(A587,"yyyy-mm-dd"))</f>
        <v/>
      </c>
      <c r="C587" s="5">
        <f>IF(A587="","",TEXT(A587,"ddd"))</f>
        <v/>
      </c>
      <c r="D587" s="5">
        <f>IF(A587="","",TEXT(A587,"yyyy-mm"))</f>
        <v/>
      </c>
      <c r="E587" s="5">
        <f>IF(A587="","",IF(A587&lt;Eingabe!$B$5,"",INT((A587-Eingabe!$B$5)/(Eingabe!$B$6*7))+1))</f>
        <v/>
      </c>
      <c r="F587" s="8">
        <f>IF(A587="","",SUMPRODUCT((Eingabe!$B$16:$B$165&lt;&gt;"")*(Eingabe!$J$16:$J$165)*--(A587&gt;=Eingabe!$G$16:$G$165)*--(A587&lt;=Eingabe!$H$16:$H$165)*--(WEEKDAY(A587,2)&lt;=5)))</f>
        <v/>
      </c>
      <c r="G587" s="8">
        <f>IF(A587="","",SUM($F$2:F587))</f>
        <v/>
      </c>
      <c r="H587" s="8">
        <f>IF(A587="","",Eingabe!$B$7-G587)</f>
        <v/>
      </c>
      <c r="I587" s="8">
        <f>IF(A587="","",Eingabe!$B$8-SUMIFS($F$2:F587,$D$2:D587,D587))</f>
        <v/>
      </c>
      <c r="J587" s="8">
        <f>IF(A587="","",IF(E587="",1E+99,IFERROR(VLOOKUP(E587,Eingabe!$D$5:$E$44,2,FALSE),Eingabe!$B$9)))</f>
        <v/>
      </c>
      <c r="K587" s="8">
        <f>IF(A587="","",IF(E587="",1E+99,J587-SUMIFS($F$2:F587,$E$2:E587,E587)))</f>
        <v/>
      </c>
      <c r="L587" s="5">
        <f>IF(A587="","",IF(OR(H587&lt;0,I587&lt;0,K587&lt;0),"UNMOEGLICH","OK"))</f>
        <v/>
      </c>
    </row>
    <row r="588">
      <c r="A588" s="7">
        <f>IF(ROW()-1&lt;=Eingabe!$B$4-Eingabe!$B$3+1,Eingabe!$B$3+ROW()-2,"")</f>
        <v/>
      </c>
      <c r="B588" s="5">
        <f>IF(A588="","",TEXT(A588,"yyyy-mm-dd"))</f>
        <v/>
      </c>
      <c r="C588" s="5">
        <f>IF(A588="","",TEXT(A588,"ddd"))</f>
        <v/>
      </c>
      <c r="D588" s="5">
        <f>IF(A588="","",TEXT(A588,"yyyy-mm"))</f>
        <v/>
      </c>
      <c r="E588" s="5">
        <f>IF(A588="","",IF(A588&lt;Eingabe!$B$5,"",INT((A588-Eingabe!$B$5)/(Eingabe!$B$6*7))+1))</f>
        <v/>
      </c>
      <c r="F588" s="8">
        <f>IF(A588="","",SUMPRODUCT((Eingabe!$B$16:$B$165&lt;&gt;"")*(Eingabe!$J$16:$J$165)*--(A588&gt;=Eingabe!$G$16:$G$165)*--(A588&lt;=Eingabe!$H$16:$H$165)*--(WEEKDAY(A588,2)&lt;=5)))</f>
        <v/>
      </c>
      <c r="G588" s="8">
        <f>IF(A588="","",SUM($F$2:F588))</f>
        <v/>
      </c>
      <c r="H588" s="8">
        <f>IF(A588="","",Eingabe!$B$7-G588)</f>
        <v/>
      </c>
      <c r="I588" s="8">
        <f>IF(A588="","",Eingabe!$B$8-SUMIFS($F$2:F588,$D$2:D588,D588))</f>
        <v/>
      </c>
      <c r="J588" s="8">
        <f>IF(A588="","",IF(E588="",1E+99,IFERROR(VLOOKUP(E588,Eingabe!$D$5:$E$44,2,FALSE),Eingabe!$B$9)))</f>
        <v/>
      </c>
      <c r="K588" s="8">
        <f>IF(A588="","",IF(E588="",1E+99,J588-SUMIFS($F$2:F588,$E$2:E588,E588)))</f>
        <v/>
      </c>
      <c r="L588" s="5">
        <f>IF(A588="","",IF(OR(H588&lt;0,I588&lt;0,K588&lt;0),"UNMOEGLICH","OK"))</f>
        <v/>
      </c>
    </row>
    <row r="589">
      <c r="A589" s="7">
        <f>IF(ROW()-1&lt;=Eingabe!$B$4-Eingabe!$B$3+1,Eingabe!$B$3+ROW()-2,"")</f>
        <v/>
      </c>
      <c r="B589" s="5">
        <f>IF(A589="","",TEXT(A589,"yyyy-mm-dd"))</f>
        <v/>
      </c>
      <c r="C589" s="5">
        <f>IF(A589="","",TEXT(A589,"ddd"))</f>
        <v/>
      </c>
      <c r="D589" s="5">
        <f>IF(A589="","",TEXT(A589,"yyyy-mm"))</f>
        <v/>
      </c>
      <c r="E589" s="5">
        <f>IF(A589="","",IF(A589&lt;Eingabe!$B$5,"",INT((A589-Eingabe!$B$5)/(Eingabe!$B$6*7))+1))</f>
        <v/>
      </c>
      <c r="F589" s="8">
        <f>IF(A589="","",SUMPRODUCT((Eingabe!$B$16:$B$165&lt;&gt;"")*(Eingabe!$J$16:$J$165)*--(A589&gt;=Eingabe!$G$16:$G$165)*--(A589&lt;=Eingabe!$H$16:$H$165)*--(WEEKDAY(A589,2)&lt;=5)))</f>
        <v/>
      </c>
      <c r="G589" s="8">
        <f>IF(A589="","",SUM($F$2:F589))</f>
        <v/>
      </c>
      <c r="H589" s="8">
        <f>IF(A589="","",Eingabe!$B$7-G589)</f>
        <v/>
      </c>
      <c r="I589" s="8">
        <f>IF(A589="","",Eingabe!$B$8-SUMIFS($F$2:F589,$D$2:D589,D589))</f>
        <v/>
      </c>
      <c r="J589" s="8">
        <f>IF(A589="","",IF(E589="",1E+99,IFERROR(VLOOKUP(E589,Eingabe!$D$5:$E$44,2,FALSE),Eingabe!$B$9)))</f>
        <v/>
      </c>
      <c r="K589" s="8">
        <f>IF(A589="","",IF(E589="",1E+99,J589-SUMIFS($F$2:F589,$E$2:E589,E589)))</f>
        <v/>
      </c>
      <c r="L589" s="5">
        <f>IF(A589="","",IF(OR(H589&lt;0,I589&lt;0,K589&lt;0),"UNMOEGLICH","OK"))</f>
        <v/>
      </c>
    </row>
    <row r="590">
      <c r="A590" s="7">
        <f>IF(ROW()-1&lt;=Eingabe!$B$4-Eingabe!$B$3+1,Eingabe!$B$3+ROW()-2,"")</f>
        <v/>
      </c>
      <c r="B590" s="5">
        <f>IF(A590="","",TEXT(A590,"yyyy-mm-dd"))</f>
        <v/>
      </c>
      <c r="C590" s="5">
        <f>IF(A590="","",TEXT(A590,"ddd"))</f>
        <v/>
      </c>
      <c r="D590" s="5">
        <f>IF(A590="","",TEXT(A590,"yyyy-mm"))</f>
        <v/>
      </c>
      <c r="E590" s="5">
        <f>IF(A590="","",IF(A590&lt;Eingabe!$B$5,"",INT((A590-Eingabe!$B$5)/(Eingabe!$B$6*7))+1))</f>
        <v/>
      </c>
      <c r="F590" s="8">
        <f>IF(A590="","",SUMPRODUCT((Eingabe!$B$16:$B$165&lt;&gt;"")*(Eingabe!$J$16:$J$165)*--(A590&gt;=Eingabe!$G$16:$G$165)*--(A590&lt;=Eingabe!$H$16:$H$165)*--(WEEKDAY(A590,2)&lt;=5)))</f>
        <v/>
      </c>
      <c r="G590" s="8">
        <f>IF(A590="","",SUM($F$2:F590))</f>
        <v/>
      </c>
      <c r="H590" s="8">
        <f>IF(A590="","",Eingabe!$B$7-G590)</f>
        <v/>
      </c>
      <c r="I590" s="8">
        <f>IF(A590="","",Eingabe!$B$8-SUMIFS($F$2:F590,$D$2:D590,D590))</f>
        <v/>
      </c>
      <c r="J590" s="8">
        <f>IF(A590="","",IF(E590="",1E+99,IFERROR(VLOOKUP(E590,Eingabe!$D$5:$E$44,2,FALSE),Eingabe!$B$9)))</f>
        <v/>
      </c>
      <c r="K590" s="8">
        <f>IF(A590="","",IF(E590="",1E+99,J590-SUMIFS($F$2:F590,$E$2:E590,E590)))</f>
        <v/>
      </c>
      <c r="L590" s="5">
        <f>IF(A590="","",IF(OR(H590&lt;0,I590&lt;0,K590&lt;0),"UNMOEGLICH","OK"))</f>
        <v/>
      </c>
    </row>
    <row r="591">
      <c r="A591" s="7">
        <f>IF(ROW()-1&lt;=Eingabe!$B$4-Eingabe!$B$3+1,Eingabe!$B$3+ROW()-2,"")</f>
        <v/>
      </c>
      <c r="B591" s="5">
        <f>IF(A591="","",TEXT(A591,"yyyy-mm-dd"))</f>
        <v/>
      </c>
      <c r="C591" s="5">
        <f>IF(A591="","",TEXT(A591,"ddd"))</f>
        <v/>
      </c>
      <c r="D591" s="5">
        <f>IF(A591="","",TEXT(A591,"yyyy-mm"))</f>
        <v/>
      </c>
      <c r="E591" s="5">
        <f>IF(A591="","",IF(A591&lt;Eingabe!$B$5,"",INT((A591-Eingabe!$B$5)/(Eingabe!$B$6*7))+1))</f>
        <v/>
      </c>
      <c r="F591" s="8">
        <f>IF(A591="","",SUMPRODUCT((Eingabe!$B$16:$B$165&lt;&gt;"")*(Eingabe!$J$16:$J$165)*--(A591&gt;=Eingabe!$G$16:$G$165)*--(A591&lt;=Eingabe!$H$16:$H$165)*--(WEEKDAY(A591,2)&lt;=5)))</f>
        <v/>
      </c>
      <c r="G591" s="8">
        <f>IF(A591="","",SUM($F$2:F591))</f>
        <v/>
      </c>
      <c r="H591" s="8">
        <f>IF(A591="","",Eingabe!$B$7-G591)</f>
        <v/>
      </c>
      <c r="I591" s="8">
        <f>IF(A591="","",Eingabe!$B$8-SUMIFS($F$2:F591,$D$2:D591,D591))</f>
        <v/>
      </c>
      <c r="J591" s="8">
        <f>IF(A591="","",IF(E591="",1E+99,IFERROR(VLOOKUP(E591,Eingabe!$D$5:$E$44,2,FALSE),Eingabe!$B$9)))</f>
        <v/>
      </c>
      <c r="K591" s="8">
        <f>IF(A591="","",IF(E591="",1E+99,J591-SUMIFS($F$2:F591,$E$2:E591,E591)))</f>
        <v/>
      </c>
      <c r="L591" s="5">
        <f>IF(A591="","",IF(OR(H591&lt;0,I591&lt;0,K591&lt;0),"UNMOEGLICH","OK"))</f>
        <v/>
      </c>
    </row>
    <row r="592">
      <c r="A592" s="7">
        <f>IF(ROW()-1&lt;=Eingabe!$B$4-Eingabe!$B$3+1,Eingabe!$B$3+ROW()-2,"")</f>
        <v/>
      </c>
      <c r="B592" s="5">
        <f>IF(A592="","",TEXT(A592,"yyyy-mm-dd"))</f>
        <v/>
      </c>
      <c r="C592" s="5">
        <f>IF(A592="","",TEXT(A592,"ddd"))</f>
        <v/>
      </c>
      <c r="D592" s="5">
        <f>IF(A592="","",TEXT(A592,"yyyy-mm"))</f>
        <v/>
      </c>
      <c r="E592" s="5">
        <f>IF(A592="","",IF(A592&lt;Eingabe!$B$5,"",INT((A592-Eingabe!$B$5)/(Eingabe!$B$6*7))+1))</f>
        <v/>
      </c>
      <c r="F592" s="8">
        <f>IF(A592="","",SUMPRODUCT((Eingabe!$B$16:$B$165&lt;&gt;"")*(Eingabe!$J$16:$J$165)*--(A592&gt;=Eingabe!$G$16:$G$165)*--(A592&lt;=Eingabe!$H$16:$H$165)*--(WEEKDAY(A592,2)&lt;=5)))</f>
        <v/>
      </c>
      <c r="G592" s="8">
        <f>IF(A592="","",SUM($F$2:F592))</f>
        <v/>
      </c>
      <c r="H592" s="8">
        <f>IF(A592="","",Eingabe!$B$7-G592)</f>
        <v/>
      </c>
      <c r="I592" s="8">
        <f>IF(A592="","",Eingabe!$B$8-SUMIFS($F$2:F592,$D$2:D592,D592))</f>
        <v/>
      </c>
      <c r="J592" s="8">
        <f>IF(A592="","",IF(E592="",1E+99,IFERROR(VLOOKUP(E592,Eingabe!$D$5:$E$44,2,FALSE),Eingabe!$B$9)))</f>
        <v/>
      </c>
      <c r="K592" s="8">
        <f>IF(A592="","",IF(E592="",1E+99,J592-SUMIFS($F$2:F592,$E$2:E592,E592)))</f>
        <v/>
      </c>
      <c r="L592" s="5">
        <f>IF(A592="","",IF(OR(H592&lt;0,I592&lt;0,K592&lt;0),"UNMOEGLICH","OK"))</f>
        <v/>
      </c>
    </row>
    <row r="593">
      <c r="A593" s="7">
        <f>IF(ROW()-1&lt;=Eingabe!$B$4-Eingabe!$B$3+1,Eingabe!$B$3+ROW()-2,"")</f>
        <v/>
      </c>
      <c r="B593" s="5">
        <f>IF(A593="","",TEXT(A593,"yyyy-mm-dd"))</f>
        <v/>
      </c>
      <c r="C593" s="5">
        <f>IF(A593="","",TEXT(A593,"ddd"))</f>
        <v/>
      </c>
      <c r="D593" s="5">
        <f>IF(A593="","",TEXT(A593,"yyyy-mm"))</f>
        <v/>
      </c>
      <c r="E593" s="5">
        <f>IF(A593="","",IF(A593&lt;Eingabe!$B$5,"",INT((A593-Eingabe!$B$5)/(Eingabe!$B$6*7))+1))</f>
        <v/>
      </c>
      <c r="F593" s="8">
        <f>IF(A593="","",SUMPRODUCT((Eingabe!$B$16:$B$165&lt;&gt;"")*(Eingabe!$J$16:$J$165)*--(A593&gt;=Eingabe!$G$16:$G$165)*--(A593&lt;=Eingabe!$H$16:$H$165)*--(WEEKDAY(A593,2)&lt;=5)))</f>
        <v/>
      </c>
      <c r="G593" s="8">
        <f>IF(A593="","",SUM($F$2:F593))</f>
        <v/>
      </c>
      <c r="H593" s="8">
        <f>IF(A593="","",Eingabe!$B$7-G593)</f>
        <v/>
      </c>
      <c r="I593" s="8">
        <f>IF(A593="","",Eingabe!$B$8-SUMIFS($F$2:F593,$D$2:D593,D593))</f>
        <v/>
      </c>
      <c r="J593" s="8">
        <f>IF(A593="","",IF(E593="",1E+99,IFERROR(VLOOKUP(E593,Eingabe!$D$5:$E$44,2,FALSE),Eingabe!$B$9)))</f>
        <v/>
      </c>
      <c r="K593" s="8">
        <f>IF(A593="","",IF(E593="",1E+99,J593-SUMIFS($F$2:F593,$E$2:E593,E593)))</f>
        <v/>
      </c>
      <c r="L593" s="5">
        <f>IF(A593="","",IF(OR(H593&lt;0,I593&lt;0,K593&lt;0),"UNMOEGLICH","OK"))</f>
        <v/>
      </c>
    </row>
    <row r="594">
      <c r="A594" s="7">
        <f>IF(ROW()-1&lt;=Eingabe!$B$4-Eingabe!$B$3+1,Eingabe!$B$3+ROW()-2,"")</f>
        <v/>
      </c>
      <c r="B594" s="5">
        <f>IF(A594="","",TEXT(A594,"yyyy-mm-dd"))</f>
        <v/>
      </c>
      <c r="C594" s="5">
        <f>IF(A594="","",TEXT(A594,"ddd"))</f>
        <v/>
      </c>
      <c r="D594" s="5">
        <f>IF(A594="","",TEXT(A594,"yyyy-mm"))</f>
        <v/>
      </c>
      <c r="E594" s="5">
        <f>IF(A594="","",IF(A594&lt;Eingabe!$B$5,"",INT((A594-Eingabe!$B$5)/(Eingabe!$B$6*7))+1))</f>
        <v/>
      </c>
      <c r="F594" s="8">
        <f>IF(A594="","",SUMPRODUCT((Eingabe!$B$16:$B$165&lt;&gt;"")*(Eingabe!$J$16:$J$165)*--(A594&gt;=Eingabe!$G$16:$G$165)*--(A594&lt;=Eingabe!$H$16:$H$165)*--(WEEKDAY(A594,2)&lt;=5)))</f>
        <v/>
      </c>
      <c r="G594" s="8">
        <f>IF(A594="","",SUM($F$2:F594))</f>
        <v/>
      </c>
      <c r="H594" s="8">
        <f>IF(A594="","",Eingabe!$B$7-G594)</f>
        <v/>
      </c>
      <c r="I594" s="8">
        <f>IF(A594="","",Eingabe!$B$8-SUMIFS($F$2:F594,$D$2:D594,D594))</f>
        <v/>
      </c>
      <c r="J594" s="8">
        <f>IF(A594="","",IF(E594="",1E+99,IFERROR(VLOOKUP(E594,Eingabe!$D$5:$E$44,2,FALSE),Eingabe!$B$9)))</f>
        <v/>
      </c>
      <c r="K594" s="8">
        <f>IF(A594="","",IF(E594="",1E+99,J594-SUMIFS($F$2:F594,$E$2:E594,E594)))</f>
        <v/>
      </c>
      <c r="L594" s="5">
        <f>IF(A594="","",IF(OR(H594&lt;0,I594&lt;0,K594&lt;0),"UNMOEGLICH","OK"))</f>
        <v/>
      </c>
    </row>
    <row r="595">
      <c r="A595" s="7">
        <f>IF(ROW()-1&lt;=Eingabe!$B$4-Eingabe!$B$3+1,Eingabe!$B$3+ROW()-2,"")</f>
        <v/>
      </c>
      <c r="B595" s="5">
        <f>IF(A595="","",TEXT(A595,"yyyy-mm-dd"))</f>
        <v/>
      </c>
      <c r="C595" s="5">
        <f>IF(A595="","",TEXT(A595,"ddd"))</f>
        <v/>
      </c>
      <c r="D595" s="5">
        <f>IF(A595="","",TEXT(A595,"yyyy-mm"))</f>
        <v/>
      </c>
      <c r="E595" s="5">
        <f>IF(A595="","",IF(A595&lt;Eingabe!$B$5,"",INT((A595-Eingabe!$B$5)/(Eingabe!$B$6*7))+1))</f>
        <v/>
      </c>
      <c r="F595" s="8">
        <f>IF(A595="","",SUMPRODUCT((Eingabe!$B$16:$B$165&lt;&gt;"")*(Eingabe!$J$16:$J$165)*--(A595&gt;=Eingabe!$G$16:$G$165)*--(A595&lt;=Eingabe!$H$16:$H$165)*--(WEEKDAY(A595,2)&lt;=5)))</f>
        <v/>
      </c>
      <c r="G595" s="8">
        <f>IF(A595="","",SUM($F$2:F595))</f>
        <v/>
      </c>
      <c r="H595" s="8">
        <f>IF(A595="","",Eingabe!$B$7-G595)</f>
        <v/>
      </c>
      <c r="I595" s="8">
        <f>IF(A595="","",Eingabe!$B$8-SUMIFS($F$2:F595,$D$2:D595,D595))</f>
        <v/>
      </c>
      <c r="J595" s="8">
        <f>IF(A595="","",IF(E595="",1E+99,IFERROR(VLOOKUP(E595,Eingabe!$D$5:$E$44,2,FALSE),Eingabe!$B$9)))</f>
        <v/>
      </c>
      <c r="K595" s="8">
        <f>IF(A595="","",IF(E595="",1E+99,J595-SUMIFS($F$2:F595,$E$2:E595,E595)))</f>
        <v/>
      </c>
      <c r="L595" s="5">
        <f>IF(A595="","",IF(OR(H595&lt;0,I595&lt;0,K595&lt;0),"UNMOEGLICH","OK"))</f>
        <v/>
      </c>
    </row>
    <row r="596">
      <c r="A596" s="7">
        <f>IF(ROW()-1&lt;=Eingabe!$B$4-Eingabe!$B$3+1,Eingabe!$B$3+ROW()-2,"")</f>
        <v/>
      </c>
      <c r="B596" s="5">
        <f>IF(A596="","",TEXT(A596,"yyyy-mm-dd"))</f>
        <v/>
      </c>
      <c r="C596" s="5">
        <f>IF(A596="","",TEXT(A596,"ddd"))</f>
        <v/>
      </c>
      <c r="D596" s="5">
        <f>IF(A596="","",TEXT(A596,"yyyy-mm"))</f>
        <v/>
      </c>
      <c r="E596" s="5">
        <f>IF(A596="","",IF(A596&lt;Eingabe!$B$5,"",INT((A596-Eingabe!$B$5)/(Eingabe!$B$6*7))+1))</f>
        <v/>
      </c>
      <c r="F596" s="8">
        <f>IF(A596="","",SUMPRODUCT((Eingabe!$B$16:$B$165&lt;&gt;"")*(Eingabe!$J$16:$J$165)*--(A596&gt;=Eingabe!$G$16:$G$165)*--(A596&lt;=Eingabe!$H$16:$H$165)*--(WEEKDAY(A596,2)&lt;=5)))</f>
        <v/>
      </c>
      <c r="G596" s="8">
        <f>IF(A596="","",SUM($F$2:F596))</f>
        <v/>
      </c>
      <c r="H596" s="8">
        <f>IF(A596="","",Eingabe!$B$7-G596)</f>
        <v/>
      </c>
      <c r="I596" s="8">
        <f>IF(A596="","",Eingabe!$B$8-SUMIFS($F$2:F596,$D$2:D596,D596))</f>
        <v/>
      </c>
      <c r="J596" s="8">
        <f>IF(A596="","",IF(E596="",1E+99,IFERROR(VLOOKUP(E596,Eingabe!$D$5:$E$44,2,FALSE),Eingabe!$B$9)))</f>
        <v/>
      </c>
      <c r="K596" s="8">
        <f>IF(A596="","",IF(E596="",1E+99,J596-SUMIFS($F$2:F596,$E$2:E596,E596)))</f>
        <v/>
      </c>
      <c r="L596" s="5">
        <f>IF(A596="","",IF(OR(H596&lt;0,I596&lt;0,K596&lt;0),"UNMOEGLICH","OK"))</f>
        <v/>
      </c>
    </row>
    <row r="597">
      <c r="A597" s="7">
        <f>IF(ROW()-1&lt;=Eingabe!$B$4-Eingabe!$B$3+1,Eingabe!$B$3+ROW()-2,"")</f>
        <v/>
      </c>
      <c r="B597" s="5">
        <f>IF(A597="","",TEXT(A597,"yyyy-mm-dd"))</f>
        <v/>
      </c>
      <c r="C597" s="5">
        <f>IF(A597="","",TEXT(A597,"ddd"))</f>
        <v/>
      </c>
      <c r="D597" s="5">
        <f>IF(A597="","",TEXT(A597,"yyyy-mm"))</f>
        <v/>
      </c>
      <c r="E597" s="5">
        <f>IF(A597="","",IF(A597&lt;Eingabe!$B$5,"",INT((A597-Eingabe!$B$5)/(Eingabe!$B$6*7))+1))</f>
        <v/>
      </c>
      <c r="F597" s="8">
        <f>IF(A597="","",SUMPRODUCT((Eingabe!$B$16:$B$165&lt;&gt;"")*(Eingabe!$J$16:$J$165)*--(A597&gt;=Eingabe!$G$16:$G$165)*--(A597&lt;=Eingabe!$H$16:$H$165)*--(WEEKDAY(A597,2)&lt;=5)))</f>
        <v/>
      </c>
      <c r="G597" s="8">
        <f>IF(A597="","",SUM($F$2:F597))</f>
        <v/>
      </c>
      <c r="H597" s="8">
        <f>IF(A597="","",Eingabe!$B$7-G597)</f>
        <v/>
      </c>
      <c r="I597" s="8">
        <f>IF(A597="","",Eingabe!$B$8-SUMIFS($F$2:F597,$D$2:D597,D597))</f>
        <v/>
      </c>
      <c r="J597" s="8">
        <f>IF(A597="","",IF(E597="",1E+99,IFERROR(VLOOKUP(E597,Eingabe!$D$5:$E$44,2,FALSE),Eingabe!$B$9)))</f>
        <v/>
      </c>
      <c r="K597" s="8">
        <f>IF(A597="","",IF(E597="",1E+99,J597-SUMIFS($F$2:F597,$E$2:E597,E597)))</f>
        <v/>
      </c>
      <c r="L597" s="5">
        <f>IF(A597="","",IF(OR(H597&lt;0,I597&lt;0,K597&lt;0),"UNMOEGLICH","OK"))</f>
        <v/>
      </c>
    </row>
    <row r="598">
      <c r="A598" s="7">
        <f>IF(ROW()-1&lt;=Eingabe!$B$4-Eingabe!$B$3+1,Eingabe!$B$3+ROW()-2,"")</f>
        <v/>
      </c>
      <c r="B598" s="5">
        <f>IF(A598="","",TEXT(A598,"yyyy-mm-dd"))</f>
        <v/>
      </c>
      <c r="C598" s="5">
        <f>IF(A598="","",TEXT(A598,"ddd"))</f>
        <v/>
      </c>
      <c r="D598" s="5">
        <f>IF(A598="","",TEXT(A598,"yyyy-mm"))</f>
        <v/>
      </c>
      <c r="E598" s="5">
        <f>IF(A598="","",IF(A598&lt;Eingabe!$B$5,"",INT((A598-Eingabe!$B$5)/(Eingabe!$B$6*7))+1))</f>
        <v/>
      </c>
      <c r="F598" s="8">
        <f>IF(A598="","",SUMPRODUCT((Eingabe!$B$16:$B$165&lt;&gt;"")*(Eingabe!$J$16:$J$165)*--(A598&gt;=Eingabe!$G$16:$G$165)*--(A598&lt;=Eingabe!$H$16:$H$165)*--(WEEKDAY(A598,2)&lt;=5)))</f>
        <v/>
      </c>
      <c r="G598" s="8">
        <f>IF(A598="","",SUM($F$2:F598))</f>
        <v/>
      </c>
      <c r="H598" s="8">
        <f>IF(A598="","",Eingabe!$B$7-G598)</f>
        <v/>
      </c>
      <c r="I598" s="8">
        <f>IF(A598="","",Eingabe!$B$8-SUMIFS($F$2:F598,$D$2:D598,D598))</f>
        <v/>
      </c>
      <c r="J598" s="8">
        <f>IF(A598="","",IF(E598="",1E+99,IFERROR(VLOOKUP(E598,Eingabe!$D$5:$E$44,2,FALSE),Eingabe!$B$9)))</f>
        <v/>
      </c>
      <c r="K598" s="8">
        <f>IF(A598="","",IF(E598="",1E+99,J598-SUMIFS($F$2:F598,$E$2:E598,E598)))</f>
        <v/>
      </c>
      <c r="L598" s="5">
        <f>IF(A598="","",IF(OR(H598&lt;0,I598&lt;0,K598&lt;0),"UNMOEGLICH","OK"))</f>
        <v/>
      </c>
    </row>
    <row r="599">
      <c r="A599" s="7">
        <f>IF(ROW()-1&lt;=Eingabe!$B$4-Eingabe!$B$3+1,Eingabe!$B$3+ROW()-2,"")</f>
        <v/>
      </c>
      <c r="B599" s="5">
        <f>IF(A599="","",TEXT(A599,"yyyy-mm-dd"))</f>
        <v/>
      </c>
      <c r="C599" s="5">
        <f>IF(A599="","",TEXT(A599,"ddd"))</f>
        <v/>
      </c>
      <c r="D599" s="5">
        <f>IF(A599="","",TEXT(A599,"yyyy-mm"))</f>
        <v/>
      </c>
      <c r="E599" s="5">
        <f>IF(A599="","",IF(A599&lt;Eingabe!$B$5,"",INT((A599-Eingabe!$B$5)/(Eingabe!$B$6*7))+1))</f>
        <v/>
      </c>
      <c r="F599" s="8">
        <f>IF(A599="","",SUMPRODUCT((Eingabe!$B$16:$B$165&lt;&gt;"")*(Eingabe!$J$16:$J$165)*--(A599&gt;=Eingabe!$G$16:$G$165)*--(A599&lt;=Eingabe!$H$16:$H$165)*--(WEEKDAY(A599,2)&lt;=5)))</f>
        <v/>
      </c>
      <c r="G599" s="8">
        <f>IF(A599="","",SUM($F$2:F599))</f>
        <v/>
      </c>
      <c r="H599" s="8">
        <f>IF(A599="","",Eingabe!$B$7-G599)</f>
        <v/>
      </c>
      <c r="I599" s="8">
        <f>IF(A599="","",Eingabe!$B$8-SUMIFS($F$2:F599,$D$2:D599,D599))</f>
        <v/>
      </c>
      <c r="J599" s="8">
        <f>IF(A599="","",IF(E599="",1E+99,IFERROR(VLOOKUP(E599,Eingabe!$D$5:$E$44,2,FALSE),Eingabe!$B$9)))</f>
        <v/>
      </c>
      <c r="K599" s="8">
        <f>IF(A599="","",IF(E599="",1E+99,J599-SUMIFS($F$2:F599,$E$2:E599,E599)))</f>
        <v/>
      </c>
      <c r="L599" s="5">
        <f>IF(A599="","",IF(OR(H599&lt;0,I599&lt;0,K599&lt;0),"UNMOEGLICH","OK"))</f>
        <v/>
      </c>
    </row>
    <row r="600">
      <c r="A600" s="7">
        <f>IF(ROW()-1&lt;=Eingabe!$B$4-Eingabe!$B$3+1,Eingabe!$B$3+ROW()-2,"")</f>
        <v/>
      </c>
      <c r="B600" s="5">
        <f>IF(A600="","",TEXT(A600,"yyyy-mm-dd"))</f>
        <v/>
      </c>
      <c r="C600" s="5">
        <f>IF(A600="","",TEXT(A600,"ddd"))</f>
        <v/>
      </c>
      <c r="D600" s="5">
        <f>IF(A600="","",TEXT(A600,"yyyy-mm"))</f>
        <v/>
      </c>
      <c r="E600" s="5">
        <f>IF(A600="","",IF(A600&lt;Eingabe!$B$5,"",INT((A600-Eingabe!$B$5)/(Eingabe!$B$6*7))+1))</f>
        <v/>
      </c>
      <c r="F600" s="8">
        <f>IF(A600="","",SUMPRODUCT((Eingabe!$B$16:$B$165&lt;&gt;"")*(Eingabe!$J$16:$J$165)*--(A600&gt;=Eingabe!$G$16:$G$165)*--(A600&lt;=Eingabe!$H$16:$H$165)*--(WEEKDAY(A600,2)&lt;=5)))</f>
        <v/>
      </c>
      <c r="G600" s="8">
        <f>IF(A600="","",SUM($F$2:F600))</f>
        <v/>
      </c>
      <c r="H600" s="8">
        <f>IF(A600="","",Eingabe!$B$7-G600)</f>
        <v/>
      </c>
      <c r="I600" s="8">
        <f>IF(A600="","",Eingabe!$B$8-SUMIFS($F$2:F600,$D$2:D600,D600))</f>
        <v/>
      </c>
      <c r="J600" s="8">
        <f>IF(A600="","",IF(E600="",1E+99,IFERROR(VLOOKUP(E600,Eingabe!$D$5:$E$44,2,FALSE),Eingabe!$B$9)))</f>
        <v/>
      </c>
      <c r="K600" s="8">
        <f>IF(A600="","",IF(E600="",1E+99,J600-SUMIFS($F$2:F600,$E$2:E600,E600)))</f>
        <v/>
      </c>
      <c r="L600" s="5">
        <f>IF(A600="","",IF(OR(H600&lt;0,I600&lt;0,K600&lt;0),"UNMOEGLICH","OK"))</f>
        <v/>
      </c>
    </row>
    <row r="601">
      <c r="A601" s="7">
        <f>IF(ROW()-1&lt;=Eingabe!$B$4-Eingabe!$B$3+1,Eingabe!$B$3+ROW()-2,"")</f>
        <v/>
      </c>
      <c r="B601" s="5">
        <f>IF(A601="","",TEXT(A601,"yyyy-mm-dd"))</f>
        <v/>
      </c>
      <c r="C601" s="5">
        <f>IF(A601="","",TEXT(A601,"ddd"))</f>
        <v/>
      </c>
      <c r="D601" s="5">
        <f>IF(A601="","",TEXT(A601,"yyyy-mm"))</f>
        <v/>
      </c>
      <c r="E601" s="5">
        <f>IF(A601="","",IF(A601&lt;Eingabe!$B$5,"",INT((A601-Eingabe!$B$5)/(Eingabe!$B$6*7))+1))</f>
        <v/>
      </c>
      <c r="F601" s="8">
        <f>IF(A601="","",SUMPRODUCT((Eingabe!$B$16:$B$165&lt;&gt;"")*(Eingabe!$J$16:$J$165)*--(A601&gt;=Eingabe!$G$16:$G$165)*--(A601&lt;=Eingabe!$H$16:$H$165)*--(WEEKDAY(A601,2)&lt;=5)))</f>
        <v/>
      </c>
      <c r="G601" s="8">
        <f>IF(A601="","",SUM($F$2:F601))</f>
        <v/>
      </c>
      <c r="H601" s="8">
        <f>IF(A601="","",Eingabe!$B$7-G601)</f>
        <v/>
      </c>
      <c r="I601" s="8">
        <f>IF(A601="","",Eingabe!$B$8-SUMIFS($F$2:F601,$D$2:D601,D601))</f>
        <v/>
      </c>
      <c r="J601" s="8">
        <f>IF(A601="","",IF(E601="",1E+99,IFERROR(VLOOKUP(E601,Eingabe!$D$5:$E$44,2,FALSE),Eingabe!$B$9)))</f>
        <v/>
      </c>
      <c r="K601" s="8">
        <f>IF(A601="","",IF(E601="",1E+99,J601-SUMIFS($F$2:F601,$E$2:E601,E601)))</f>
        <v/>
      </c>
      <c r="L601" s="5">
        <f>IF(A601="","",IF(OR(H601&lt;0,I601&lt;0,K601&lt;0),"UNMOEGLICH","OK"))</f>
        <v/>
      </c>
    </row>
    <row r="602">
      <c r="A602" s="7">
        <f>IF(ROW()-1&lt;=Eingabe!$B$4-Eingabe!$B$3+1,Eingabe!$B$3+ROW()-2,"")</f>
        <v/>
      </c>
      <c r="B602" s="5">
        <f>IF(A602="","",TEXT(A602,"yyyy-mm-dd"))</f>
        <v/>
      </c>
      <c r="C602" s="5">
        <f>IF(A602="","",TEXT(A602,"ddd"))</f>
        <v/>
      </c>
      <c r="D602" s="5">
        <f>IF(A602="","",TEXT(A602,"yyyy-mm"))</f>
        <v/>
      </c>
      <c r="E602" s="5">
        <f>IF(A602="","",IF(A602&lt;Eingabe!$B$5,"",INT((A602-Eingabe!$B$5)/(Eingabe!$B$6*7))+1))</f>
        <v/>
      </c>
      <c r="F602" s="8">
        <f>IF(A602="","",SUMPRODUCT((Eingabe!$B$16:$B$165&lt;&gt;"")*(Eingabe!$J$16:$J$165)*--(A602&gt;=Eingabe!$G$16:$G$165)*--(A602&lt;=Eingabe!$H$16:$H$165)*--(WEEKDAY(A602,2)&lt;=5)))</f>
        <v/>
      </c>
      <c r="G602" s="8">
        <f>IF(A602="","",SUM($F$2:F602))</f>
        <v/>
      </c>
      <c r="H602" s="8">
        <f>IF(A602="","",Eingabe!$B$7-G602)</f>
        <v/>
      </c>
      <c r="I602" s="8">
        <f>IF(A602="","",Eingabe!$B$8-SUMIFS($F$2:F602,$D$2:D602,D602))</f>
        <v/>
      </c>
      <c r="J602" s="8">
        <f>IF(A602="","",IF(E602="",1E+99,IFERROR(VLOOKUP(E602,Eingabe!$D$5:$E$44,2,FALSE),Eingabe!$B$9)))</f>
        <v/>
      </c>
      <c r="K602" s="8">
        <f>IF(A602="","",IF(E602="",1E+99,J602-SUMIFS($F$2:F602,$E$2:E602,E602)))</f>
        <v/>
      </c>
      <c r="L602" s="5">
        <f>IF(A602="","",IF(OR(H602&lt;0,I602&lt;0,K602&lt;0),"UNMOEGLICH","OK"))</f>
        <v/>
      </c>
    </row>
    <row r="603">
      <c r="A603" s="7">
        <f>IF(ROW()-1&lt;=Eingabe!$B$4-Eingabe!$B$3+1,Eingabe!$B$3+ROW()-2,"")</f>
        <v/>
      </c>
      <c r="B603" s="5">
        <f>IF(A603="","",TEXT(A603,"yyyy-mm-dd"))</f>
        <v/>
      </c>
      <c r="C603" s="5">
        <f>IF(A603="","",TEXT(A603,"ddd"))</f>
        <v/>
      </c>
      <c r="D603" s="5">
        <f>IF(A603="","",TEXT(A603,"yyyy-mm"))</f>
        <v/>
      </c>
      <c r="E603" s="5">
        <f>IF(A603="","",IF(A603&lt;Eingabe!$B$5,"",INT((A603-Eingabe!$B$5)/(Eingabe!$B$6*7))+1))</f>
        <v/>
      </c>
      <c r="F603" s="8">
        <f>IF(A603="","",SUMPRODUCT((Eingabe!$B$16:$B$165&lt;&gt;"")*(Eingabe!$J$16:$J$165)*--(A603&gt;=Eingabe!$G$16:$G$165)*--(A603&lt;=Eingabe!$H$16:$H$165)*--(WEEKDAY(A603,2)&lt;=5)))</f>
        <v/>
      </c>
      <c r="G603" s="8">
        <f>IF(A603="","",SUM($F$2:F603))</f>
        <v/>
      </c>
      <c r="H603" s="8">
        <f>IF(A603="","",Eingabe!$B$7-G603)</f>
        <v/>
      </c>
      <c r="I603" s="8">
        <f>IF(A603="","",Eingabe!$B$8-SUMIFS($F$2:F603,$D$2:D603,D603))</f>
        <v/>
      </c>
      <c r="J603" s="8">
        <f>IF(A603="","",IF(E603="",1E+99,IFERROR(VLOOKUP(E603,Eingabe!$D$5:$E$44,2,FALSE),Eingabe!$B$9)))</f>
        <v/>
      </c>
      <c r="K603" s="8">
        <f>IF(A603="","",IF(E603="",1E+99,J603-SUMIFS($F$2:F603,$E$2:E603,E603)))</f>
        <v/>
      </c>
      <c r="L603" s="5">
        <f>IF(A603="","",IF(OR(H603&lt;0,I603&lt;0,K603&lt;0),"UNMOEGLICH","OK"))</f>
        <v/>
      </c>
    </row>
    <row r="604">
      <c r="A604" s="7">
        <f>IF(ROW()-1&lt;=Eingabe!$B$4-Eingabe!$B$3+1,Eingabe!$B$3+ROW()-2,"")</f>
        <v/>
      </c>
      <c r="B604" s="5">
        <f>IF(A604="","",TEXT(A604,"yyyy-mm-dd"))</f>
        <v/>
      </c>
      <c r="C604" s="5">
        <f>IF(A604="","",TEXT(A604,"ddd"))</f>
        <v/>
      </c>
      <c r="D604" s="5">
        <f>IF(A604="","",TEXT(A604,"yyyy-mm"))</f>
        <v/>
      </c>
      <c r="E604" s="5">
        <f>IF(A604="","",IF(A604&lt;Eingabe!$B$5,"",INT((A604-Eingabe!$B$5)/(Eingabe!$B$6*7))+1))</f>
        <v/>
      </c>
      <c r="F604" s="8">
        <f>IF(A604="","",SUMPRODUCT((Eingabe!$B$16:$B$165&lt;&gt;"")*(Eingabe!$J$16:$J$165)*--(A604&gt;=Eingabe!$G$16:$G$165)*--(A604&lt;=Eingabe!$H$16:$H$165)*--(WEEKDAY(A604,2)&lt;=5)))</f>
        <v/>
      </c>
      <c r="G604" s="8">
        <f>IF(A604="","",SUM($F$2:F604))</f>
        <v/>
      </c>
      <c r="H604" s="8">
        <f>IF(A604="","",Eingabe!$B$7-G604)</f>
        <v/>
      </c>
      <c r="I604" s="8">
        <f>IF(A604="","",Eingabe!$B$8-SUMIFS($F$2:F604,$D$2:D604,D604))</f>
        <v/>
      </c>
      <c r="J604" s="8">
        <f>IF(A604="","",IF(E604="",1E+99,IFERROR(VLOOKUP(E604,Eingabe!$D$5:$E$44,2,FALSE),Eingabe!$B$9)))</f>
        <v/>
      </c>
      <c r="K604" s="8">
        <f>IF(A604="","",IF(E604="",1E+99,J604-SUMIFS($F$2:F604,$E$2:E604,E604)))</f>
        <v/>
      </c>
      <c r="L604" s="5">
        <f>IF(A604="","",IF(OR(H604&lt;0,I604&lt;0,K604&lt;0),"UNMOEGLICH","OK"))</f>
        <v/>
      </c>
    </row>
    <row r="605">
      <c r="A605" s="7">
        <f>IF(ROW()-1&lt;=Eingabe!$B$4-Eingabe!$B$3+1,Eingabe!$B$3+ROW()-2,"")</f>
        <v/>
      </c>
      <c r="B605" s="5">
        <f>IF(A605="","",TEXT(A605,"yyyy-mm-dd"))</f>
        <v/>
      </c>
      <c r="C605" s="5">
        <f>IF(A605="","",TEXT(A605,"ddd"))</f>
        <v/>
      </c>
      <c r="D605" s="5">
        <f>IF(A605="","",TEXT(A605,"yyyy-mm"))</f>
        <v/>
      </c>
      <c r="E605" s="5">
        <f>IF(A605="","",IF(A605&lt;Eingabe!$B$5,"",INT((A605-Eingabe!$B$5)/(Eingabe!$B$6*7))+1))</f>
        <v/>
      </c>
      <c r="F605" s="8">
        <f>IF(A605="","",SUMPRODUCT((Eingabe!$B$16:$B$165&lt;&gt;"")*(Eingabe!$J$16:$J$165)*--(A605&gt;=Eingabe!$G$16:$G$165)*--(A605&lt;=Eingabe!$H$16:$H$165)*--(WEEKDAY(A605,2)&lt;=5)))</f>
        <v/>
      </c>
      <c r="G605" s="8">
        <f>IF(A605="","",SUM($F$2:F605))</f>
        <v/>
      </c>
      <c r="H605" s="8">
        <f>IF(A605="","",Eingabe!$B$7-G605)</f>
        <v/>
      </c>
      <c r="I605" s="8">
        <f>IF(A605="","",Eingabe!$B$8-SUMIFS($F$2:F605,$D$2:D605,D605))</f>
        <v/>
      </c>
      <c r="J605" s="8">
        <f>IF(A605="","",IF(E605="",1E+99,IFERROR(VLOOKUP(E605,Eingabe!$D$5:$E$44,2,FALSE),Eingabe!$B$9)))</f>
        <v/>
      </c>
      <c r="K605" s="8">
        <f>IF(A605="","",IF(E605="",1E+99,J605-SUMIFS($F$2:F605,$E$2:E605,E605)))</f>
        <v/>
      </c>
      <c r="L605" s="5">
        <f>IF(A605="","",IF(OR(H605&lt;0,I605&lt;0,K605&lt;0),"UNMOEGLICH","OK"))</f>
        <v/>
      </c>
    </row>
    <row r="606">
      <c r="A606" s="7">
        <f>IF(ROW()-1&lt;=Eingabe!$B$4-Eingabe!$B$3+1,Eingabe!$B$3+ROW()-2,"")</f>
        <v/>
      </c>
      <c r="B606" s="5">
        <f>IF(A606="","",TEXT(A606,"yyyy-mm-dd"))</f>
        <v/>
      </c>
      <c r="C606" s="5">
        <f>IF(A606="","",TEXT(A606,"ddd"))</f>
        <v/>
      </c>
      <c r="D606" s="5">
        <f>IF(A606="","",TEXT(A606,"yyyy-mm"))</f>
        <v/>
      </c>
      <c r="E606" s="5">
        <f>IF(A606="","",IF(A606&lt;Eingabe!$B$5,"",INT((A606-Eingabe!$B$5)/(Eingabe!$B$6*7))+1))</f>
        <v/>
      </c>
      <c r="F606" s="8">
        <f>IF(A606="","",SUMPRODUCT((Eingabe!$B$16:$B$165&lt;&gt;"")*(Eingabe!$J$16:$J$165)*--(A606&gt;=Eingabe!$G$16:$G$165)*--(A606&lt;=Eingabe!$H$16:$H$165)*--(WEEKDAY(A606,2)&lt;=5)))</f>
        <v/>
      </c>
      <c r="G606" s="8">
        <f>IF(A606="","",SUM($F$2:F606))</f>
        <v/>
      </c>
      <c r="H606" s="8">
        <f>IF(A606="","",Eingabe!$B$7-G606)</f>
        <v/>
      </c>
      <c r="I606" s="8">
        <f>IF(A606="","",Eingabe!$B$8-SUMIFS($F$2:F606,$D$2:D606,D606))</f>
        <v/>
      </c>
      <c r="J606" s="8">
        <f>IF(A606="","",IF(E606="",1E+99,IFERROR(VLOOKUP(E606,Eingabe!$D$5:$E$44,2,FALSE),Eingabe!$B$9)))</f>
        <v/>
      </c>
      <c r="K606" s="8">
        <f>IF(A606="","",IF(E606="",1E+99,J606-SUMIFS($F$2:F606,$E$2:E606,E606)))</f>
        <v/>
      </c>
      <c r="L606" s="5">
        <f>IF(A606="","",IF(OR(H606&lt;0,I606&lt;0,K606&lt;0),"UNMOEGLICH","OK"))</f>
        <v/>
      </c>
    </row>
    <row r="607">
      <c r="A607" s="7">
        <f>IF(ROW()-1&lt;=Eingabe!$B$4-Eingabe!$B$3+1,Eingabe!$B$3+ROW()-2,"")</f>
        <v/>
      </c>
      <c r="B607" s="5">
        <f>IF(A607="","",TEXT(A607,"yyyy-mm-dd"))</f>
        <v/>
      </c>
      <c r="C607" s="5">
        <f>IF(A607="","",TEXT(A607,"ddd"))</f>
        <v/>
      </c>
      <c r="D607" s="5">
        <f>IF(A607="","",TEXT(A607,"yyyy-mm"))</f>
        <v/>
      </c>
      <c r="E607" s="5">
        <f>IF(A607="","",IF(A607&lt;Eingabe!$B$5,"",INT((A607-Eingabe!$B$5)/(Eingabe!$B$6*7))+1))</f>
        <v/>
      </c>
      <c r="F607" s="8">
        <f>IF(A607="","",SUMPRODUCT((Eingabe!$B$16:$B$165&lt;&gt;"")*(Eingabe!$J$16:$J$165)*--(A607&gt;=Eingabe!$G$16:$G$165)*--(A607&lt;=Eingabe!$H$16:$H$165)*--(WEEKDAY(A607,2)&lt;=5)))</f>
        <v/>
      </c>
      <c r="G607" s="8">
        <f>IF(A607="","",SUM($F$2:F607))</f>
        <v/>
      </c>
      <c r="H607" s="8">
        <f>IF(A607="","",Eingabe!$B$7-G607)</f>
        <v/>
      </c>
      <c r="I607" s="8">
        <f>IF(A607="","",Eingabe!$B$8-SUMIFS($F$2:F607,$D$2:D607,D607))</f>
        <v/>
      </c>
      <c r="J607" s="8">
        <f>IF(A607="","",IF(E607="",1E+99,IFERROR(VLOOKUP(E607,Eingabe!$D$5:$E$44,2,FALSE),Eingabe!$B$9)))</f>
        <v/>
      </c>
      <c r="K607" s="8">
        <f>IF(A607="","",IF(E607="",1E+99,J607-SUMIFS($F$2:F607,$E$2:E607,E607)))</f>
        <v/>
      </c>
      <c r="L607" s="5">
        <f>IF(A607="","",IF(OR(H607&lt;0,I607&lt;0,K607&lt;0),"UNMOEGLICH","OK"))</f>
        <v/>
      </c>
    </row>
    <row r="608">
      <c r="A608" s="7">
        <f>IF(ROW()-1&lt;=Eingabe!$B$4-Eingabe!$B$3+1,Eingabe!$B$3+ROW()-2,"")</f>
        <v/>
      </c>
      <c r="B608" s="5">
        <f>IF(A608="","",TEXT(A608,"yyyy-mm-dd"))</f>
        <v/>
      </c>
      <c r="C608" s="5">
        <f>IF(A608="","",TEXT(A608,"ddd"))</f>
        <v/>
      </c>
      <c r="D608" s="5">
        <f>IF(A608="","",TEXT(A608,"yyyy-mm"))</f>
        <v/>
      </c>
      <c r="E608" s="5">
        <f>IF(A608="","",IF(A608&lt;Eingabe!$B$5,"",INT((A608-Eingabe!$B$5)/(Eingabe!$B$6*7))+1))</f>
        <v/>
      </c>
      <c r="F608" s="8">
        <f>IF(A608="","",SUMPRODUCT((Eingabe!$B$16:$B$165&lt;&gt;"")*(Eingabe!$J$16:$J$165)*--(A608&gt;=Eingabe!$G$16:$G$165)*--(A608&lt;=Eingabe!$H$16:$H$165)*--(WEEKDAY(A608,2)&lt;=5)))</f>
        <v/>
      </c>
      <c r="G608" s="8">
        <f>IF(A608="","",SUM($F$2:F608))</f>
        <v/>
      </c>
      <c r="H608" s="8">
        <f>IF(A608="","",Eingabe!$B$7-G608)</f>
        <v/>
      </c>
      <c r="I608" s="8">
        <f>IF(A608="","",Eingabe!$B$8-SUMIFS($F$2:F608,$D$2:D608,D608))</f>
        <v/>
      </c>
      <c r="J608" s="8">
        <f>IF(A608="","",IF(E608="",1E+99,IFERROR(VLOOKUP(E608,Eingabe!$D$5:$E$44,2,FALSE),Eingabe!$B$9)))</f>
        <v/>
      </c>
      <c r="K608" s="8">
        <f>IF(A608="","",IF(E608="",1E+99,J608-SUMIFS($F$2:F608,$E$2:E608,E608)))</f>
        <v/>
      </c>
      <c r="L608" s="5">
        <f>IF(A608="","",IF(OR(H608&lt;0,I608&lt;0,K608&lt;0),"UNMOEGLICH","OK"))</f>
        <v/>
      </c>
    </row>
    <row r="609">
      <c r="A609" s="7">
        <f>IF(ROW()-1&lt;=Eingabe!$B$4-Eingabe!$B$3+1,Eingabe!$B$3+ROW()-2,"")</f>
        <v/>
      </c>
      <c r="B609" s="5">
        <f>IF(A609="","",TEXT(A609,"yyyy-mm-dd"))</f>
        <v/>
      </c>
      <c r="C609" s="5">
        <f>IF(A609="","",TEXT(A609,"ddd"))</f>
        <v/>
      </c>
      <c r="D609" s="5">
        <f>IF(A609="","",TEXT(A609,"yyyy-mm"))</f>
        <v/>
      </c>
      <c r="E609" s="5">
        <f>IF(A609="","",IF(A609&lt;Eingabe!$B$5,"",INT((A609-Eingabe!$B$5)/(Eingabe!$B$6*7))+1))</f>
        <v/>
      </c>
      <c r="F609" s="8">
        <f>IF(A609="","",SUMPRODUCT((Eingabe!$B$16:$B$165&lt;&gt;"")*(Eingabe!$J$16:$J$165)*--(A609&gt;=Eingabe!$G$16:$G$165)*--(A609&lt;=Eingabe!$H$16:$H$165)*--(WEEKDAY(A609,2)&lt;=5)))</f>
        <v/>
      </c>
      <c r="G609" s="8">
        <f>IF(A609="","",SUM($F$2:F609))</f>
        <v/>
      </c>
      <c r="H609" s="8">
        <f>IF(A609="","",Eingabe!$B$7-G609)</f>
        <v/>
      </c>
      <c r="I609" s="8">
        <f>IF(A609="","",Eingabe!$B$8-SUMIFS($F$2:F609,$D$2:D609,D609))</f>
        <v/>
      </c>
      <c r="J609" s="8">
        <f>IF(A609="","",IF(E609="",1E+99,IFERROR(VLOOKUP(E609,Eingabe!$D$5:$E$44,2,FALSE),Eingabe!$B$9)))</f>
        <v/>
      </c>
      <c r="K609" s="8">
        <f>IF(A609="","",IF(E609="",1E+99,J609-SUMIFS($F$2:F609,$E$2:E609,E609)))</f>
        <v/>
      </c>
      <c r="L609" s="5">
        <f>IF(A609="","",IF(OR(H609&lt;0,I609&lt;0,K609&lt;0),"UNMOEGLICH","OK"))</f>
        <v/>
      </c>
    </row>
    <row r="610">
      <c r="A610" s="7">
        <f>IF(ROW()-1&lt;=Eingabe!$B$4-Eingabe!$B$3+1,Eingabe!$B$3+ROW()-2,"")</f>
        <v/>
      </c>
      <c r="B610" s="5">
        <f>IF(A610="","",TEXT(A610,"yyyy-mm-dd"))</f>
        <v/>
      </c>
      <c r="C610" s="5">
        <f>IF(A610="","",TEXT(A610,"ddd"))</f>
        <v/>
      </c>
      <c r="D610" s="5">
        <f>IF(A610="","",TEXT(A610,"yyyy-mm"))</f>
        <v/>
      </c>
      <c r="E610" s="5">
        <f>IF(A610="","",IF(A610&lt;Eingabe!$B$5,"",INT((A610-Eingabe!$B$5)/(Eingabe!$B$6*7))+1))</f>
        <v/>
      </c>
      <c r="F610" s="8">
        <f>IF(A610="","",SUMPRODUCT((Eingabe!$B$16:$B$165&lt;&gt;"")*(Eingabe!$J$16:$J$165)*--(A610&gt;=Eingabe!$G$16:$G$165)*--(A610&lt;=Eingabe!$H$16:$H$165)*--(WEEKDAY(A610,2)&lt;=5)))</f>
        <v/>
      </c>
      <c r="G610" s="8">
        <f>IF(A610="","",SUM($F$2:F610))</f>
        <v/>
      </c>
      <c r="H610" s="8">
        <f>IF(A610="","",Eingabe!$B$7-G610)</f>
        <v/>
      </c>
      <c r="I610" s="8">
        <f>IF(A610="","",Eingabe!$B$8-SUMIFS($F$2:F610,$D$2:D610,D610))</f>
        <v/>
      </c>
      <c r="J610" s="8">
        <f>IF(A610="","",IF(E610="",1E+99,IFERROR(VLOOKUP(E610,Eingabe!$D$5:$E$44,2,FALSE),Eingabe!$B$9)))</f>
        <v/>
      </c>
      <c r="K610" s="8">
        <f>IF(A610="","",IF(E610="",1E+99,J610-SUMIFS($F$2:F610,$E$2:E610,E610)))</f>
        <v/>
      </c>
      <c r="L610" s="5">
        <f>IF(A610="","",IF(OR(H610&lt;0,I610&lt;0,K610&lt;0),"UNMOEGLICH","OK"))</f>
        <v/>
      </c>
    </row>
    <row r="611">
      <c r="A611" s="7">
        <f>IF(ROW()-1&lt;=Eingabe!$B$4-Eingabe!$B$3+1,Eingabe!$B$3+ROW()-2,"")</f>
        <v/>
      </c>
      <c r="B611" s="5">
        <f>IF(A611="","",TEXT(A611,"yyyy-mm-dd"))</f>
        <v/>
      </c>
      <c r="C611" s="5">
        <f>IF(A611="","",TEXT(A611,"ddd"))</f>
        <v/>
      </c>
      <c r="D611" s="5">
        <f>IF(A611="","",TEXT(A611,"yyyy-mm"))</f>
        <v/>
      </c>
      <c r="E611" s="5">
        <f>IF(A611="","",IF(A611&lt;Eingabe!$B$5,"",INT((A611-Eingabe!$B$5)/(Eingabe!$B$6*7))+1))</f>
        <v/>
      </c>
      <c r="F611" s="8">
        <f>IF(A611="","",SUMPRODUCT((Eingabe!$B$16:$B$165&lt;&gt;"")*(Eingabe!$J$16:$J$165)*--(A611&gt;=Eingabe!$G$16:$G$165)*--(A611&lt;=Eingabe!$H$16:$H$165)*--(WEEKDAY(A611,2)&lt;=5)))</f>
        <v/>
      </c>
      <c r="G611" s="8">
        <f>IF(A611="","",SUM($F$2:F611))</f>
        <v/>
      </c>
      <c r="H611" s="8">
        <f>IF(A611="","",Eingabe!$B$7-G611)</f>
        <v/>
      </c>
      <c r="I611" s="8">
        <f>IF(A611="","",Eingabe!$B$8-SUMIFS($F$2:F611,$D$2:D611,D611))</f>
        <v/>
      </c>
      <c r="J611" s="8">
        <f>IF(A611="","",IF(E611="",1E+99,IFERROR(VLOOKUP(E611,Eingabe!$D$5:$E$44,2,FALSE),Eingabe!$B$9)))</f>
        <v/>
      </c>
      <c r="K611" s="8">
        <f>IF(A611="","",IF(E611="",1E+99,J611-SUMIFS($F$2:F611,$E$2:E611,E611)))</f>
        <v/>
      </c>
      <c r="L611" s="5">
        <f>IF(A611="","",IF(OR(H611&lt;0,I611&lt;0,K611&lt;0),"UNMOEGLICH","OK"))</f>
        <v/>
      </c>
    </row>
    <row r="612">
      <c r="A612" s="7">
        <f>IF(ROW()-1&lt;=Eingabe!$B$4-Eingabe!$B$3+1,Eingabe!$B$3+ROW()-2,"")</f>
        <v/>
      </c>
      <c r="B612" s="5">
        <f>IF(A612="","",TEXT(A612,"yyyy-mm-dd"))</f>
        <v/>
      </c>
      <c r="C612" s="5">
        <f>IF(A612="","",TEXT(A612,"ddd"))</f>
        <v/>
      </c>
      <c r="D612" s="5">
        <f>IF(A612="","",TEXT(A612,"yyyy-mm"))</f>
        <v/>
      </c>
      <c r="E612" s="5">
        <f>IF(A612="","",IF(A612&lt;Eingabe!$B$5,"",INT((A612-Eingabe!$B$5)/(Eingabe!$B$6*7))+1))</f>
        <v/>
      </c>
      <c r="F612" s="8">
        <f>IF(A612="","",SUMPRODUCT((Eingabe!$B$16:$B$165&lt;&gt;"")*(Eingabe!$J$16:$J$165)*--(A612&gt;=Eingabe!$G$16:$G$165)*--(A612&lt;=Eingabe!$H$16:$H$165)*--(WEEKDAY(A612,2)&lt;=5)))</f>
        <v/>
      </c>
      <c r="G612" s="8">
        <f>IF(A612="","",SUM($F$2:F612))</f>
        <v/>
      </c>
      <c r="H612" s="8">
        <f>IF(A612="","",Eingabe!$B$7-G612)</f>
        <v/>
      </c>
      <c r="I612" s="8">
        <f>IF(A612="","",Eingabe!$B$8-SUMIFS($F$2:F612,$D$2:D612,D612))</f>
        <v/>
      </c>
      <c r="J612" s="8">
        <f>IF(A612="","",IF(E612="",1E+99,IFERROR(VLOOKUP(E612,Eingabe!$D$5:$E$44,2,FALSE),Eingabe!$B$9)))</f>
        <v/>
      </c>
      <c r="K612" s="8">
        <f>IF(A612="","",IF(E612="",1E+99,J612-SUMIFS($F$2:F612,$E$2:E612,E612)))</f>
        <v/>
      </c>
      <c r="L612" s="5">
        <f>IF(A612="","",IF(OR(H612&lt;0,I612&lt;0,K612&lt;0),"UNMOEGLICH","OK"))</f>
        <v/>
      </c>
    </row>
    <row r="613">
      <c r="A613" s="7">
        <f>IF(ROW()-1&lt;=Eingabe!$B$4-Eingabe!$B$3+1,Eingabe!$B$3+ROW()-2,"")</f>
        <v/>
      </c>
      <c r="B613" s="5">
        <f>IF(A613="","",TEXT(A613,"yyyy-mm-dd"))</f>
        <v/>
      </c>
      <c r="C613" s="5">
        <f>IF(A613="","",TEXT(A613,"ddd"))</f>
        <v/>
      </c>
      <c r="D613" s="5">
        <f>IF(A613="","",TEXT(A613,"yyyy-mm"))</f>
        <v/>
      </c>
      <c r="E613" s="5">
        <f>IF(A613="","",IF(A613&lt;Eingabe!$B$5,"",INT((A613-Eingabe!$B$5)/(Eingabe!$B$6*7))+1))</f>
        <v/>
      </c>
      <c r="F613" s="8">
        <f>IF(A613="","",SUMPRODUCT((Eingabe!$B$16:$B$165&lt;&gt;"")*(Eingabe!$J$16:$J$165)*--(A613&gt;=Eingabe!$G$16:$G$165)*--(A613&lt;=Eingabe!$H$16:$H$165)*--(WEEKDAY(A613,2)&lt;=5)))</f>
        <v/>
      </c>
      <c r="G613" s="8">
        <f>IF(A613="","",SUM($F$2:F613))</f>
        <v/>
      </c>
      <c r="H613" s="8">
        <f>IF(A613="","",Eingabe!$B$7-G613)</f>
        <v/>
      </c>
      <c r="I613" s="8">
        <f>IF(A613="","",Eingabe!$B$8-SUMIFS($F$2:F613,$D$2:D613,D613))</f>
        <v/>
      </c>
      <c r="J613" s="8">
        <f>IF(A613="","",IF(E613="",1E+99,IFERROR(VLOOKUP(E613,Eingabe!$D$5:$E$44,2,FALSE),Eingabe!$B$9)))</f>
        <v/>
      </c>
      <c r="K613" s="8">
        <f>IF(A613="","",IF(E613="",1E+99,J613-SUMIFS($F$2:F613,$E$2:E613,E613)))</f>
        <v/>
      </c>
      <c r="L613" s="5">
        <f>IF(A613="","",IF(OR(H613&lt;0,I613&lt;0,K613&lt;0),"UNMOEGLICH","OK"))</f>
        <v/>
      </c>
    </row>
    <row r="614">
      <c r="A614" s="7">
        <f>IF(ROW()-1&lt;=Eingabe!$B$4-Eingabe!$B$3+1,Eingabe!$B$3+ROW()-2,"")</f>
        <v/>
      </c>
      <c r="B614" s="5">
        <f>IF(A614="","",TEXT(A614,"yyyy-mm-dd"))</f>
        <v/>
      </c>
      <c r="C614" s="5">
        <f>IF(A614="","",TEXT(A614,"ddd"))</f>
        <v/>
      </c>
      <c r="D614" s="5">
        <f>IF(A614="","",TEXT(A614,"yyyy-mm"))</f>
        <v/>
      </c>
      <c r="E614" s="5">
        <f>IF(A614="","",IF(A614&lt;Eingabe!$B$5,"",INT((A614-Eingabe!$B$5)/(Eingabe!$B$6*7))+1))</f>
        <v/>
      </c>
      <c r="F614" s="8">
        <f>IF(A614="","",SUMPRODUCT((Eingabe!$B$16:$B$165&lt;&gt;"")*(Eingabe!$J$16:$J$165)*--(A614&gt;=Eingabe!$G$16:$G$165)*--(A614&lt;=Eingabe!$H$16:$H$165)*--(WEEKDAY(A614,2)&lt;=5)))</f>
        <v/>
      </c>
      <c r="G614" s="8">
        <f>IF(A614="","",SUM($F$2:F614))</f>
        <v/>
      </c>
      <c r="H614" s="8">
        <f>IF(A614="","",Eingabe!$B$7-G614)</f>
        <v/>
      </c>
      <c r="I614" s="8">
        <f>IF(A614="","",Eingabe!$B$8-SUMIFS($F$2:F614,$D$2:D614,D614))</f>
        <v/>
      </c>
      <c r="J614" s="8">
        <f>IF(A614="","",IF(E614="",1E+99,IFERROR(VLOOKUP(E614,Eingabe!$D$5:$E$44,2,FALSE),Eingabe!$B$9)))</f>
        <v/>
      </c>
      <c r="K614" s="8">
        <f>IF(A614="","",IF(E614="",1E+99,J614-SUMIFS($F$2:F614,$E$2:E614,E614)))</f>
        <v/>
      </c>
      <c r="L614" s="5">
        <f>IF(A614="","",IF(OR(H614&lt;0,I614&lt;0,K614&lt;0),"UNMOEGLICH","OK"))</f>
        <v/>
      </c>
    </row>
    <row r="615">
      <c r="A615" s="7">
        <f>IF(ROW()-1&lt;=Eingabe!$B$4-Eingabe!$B$3+1,Eingabe!$B$3+ROW()-2,"")</f>
        <v/>
      </c>
      <c r="B615" s="5">
        <f>IF(A615="","",TEXT(A615,"yyyy-mm-dd"))</f>
        <v/>
      </c>
      <c r="C615" s="5">
        <f>IF(A615="","",TEXT(A615,"ddd"))</f>
        <v/>
      </c>
      <c r="D615" s="5">
        <f>IF(A615="","",TEXT(A615,"yyyy-mm"))</f>
        <v/>
      </c>
      <c r="E615" s="5">
        <f>IF(A615="","",IF(A615&lt;Eingabe!$B$5,"",INT((A615-Eingabe!$B$5)/(Eingabe!$B$6*7))+1))</f>
        <v/>
      </c>
      <c r="F615" s="8">
        <f>IF(A615="","",SUMPRODUCT((Eingabe!$B$16:$B$165&lt;&gt;"")*(Eingabe!$J$16:$J$165)*--(A615&gt;=Eingabe!$G$16:$G$165)*--(A615&lt;=Eingabe!$H$16:$H$165)*--(WEEKDAY(A615,2)&lt;=5)))</f>
        <v/>
      </c>
      <c r="G615" s="8">
        <f>IF(A615="","",SUM($F$2:F615))</f>
        <v/>
      </c>
      <c r="H615" s="8">
        <f>IF(A615="","",Eingabe!$B$7-G615)</f>
        <v/>
      </c>
      <c r="I615" s="8">
        <f>IF(A615="","",Eingabe!$B$8-SUMIFS($F$2:F615,$D$2:D615,D615))</f>
        <v/>
      </c>
      <c r="J615" s="8">
        <f>IF(A615="","",IF(E615="",1E+99,IFERROR(VLOOKUP(E615,Eingabe!$D$5:$E$44,2,FALSE),Eingabe!$B$9)))</f>
        <v/>
      </c>
      <c r="K615" s="8">
        <f>IF(A615="","",IF(E615="",1E+99,J615-SUMIFS($F$2:F615,$E$2:E615,E615)))</f>
        <v/>
      </c>
      <c r="L615" s="5">
        <f>IF(A615="","",IF(OR(H615&lt;0,I615&lt;0,K615&lt;0),"UNMOEGLICH","OK"))</f>
        <v/>
      </c>
    </row>
    <row r="616">
      <c r="A616" s="7">
        <f>IF(ROW()-1&lt;=Eingabe!$B$4-Eingabe!$B$3+1,Eingabe!$B$3+ROW()-2,"")</f>
        <v/>
      </c>
      <c r="B616" s="5">
        <f>IF(A616="","",TEXT(A616,"yyyy-mm-dd"))</f>
        <v/>
      </c>
      <c r="C616" s="5">
        <f>IF(A616="","",TEXT(A616,"ddd"))</f>
        <v/>
      </c>
      <c r="D616" s="5">
        <f>IF(A616="","",TEXT(A616,"yyyy-mm"))</f>
        <v/>
      </c>
      <c r="E616" s="5">
        <f>IF(A616="","",IF(A616&lt;Eingabe!$B$5,"",INT((A616-Eingabe!$B$5)/(Eingabe!$B$6*7))+1))</f>
        <v/>
      </c>
      <c r="F616" s="8">
        <f>IF(A616="","",SUMPRODUCT((Eingabe!$B$16:$B$165&lt;&gt;"")*(Eingabe!$J$16:$J$165)*--(A616&gt;=Eingabe!$G$16:$G$165)*--(A616&lt;=Eingabe!$H$16:$H$165)*--(WEEKDAY(A616,2)&lt;=5)))</f>
        <v/>
      </c>
      <c r="G616" s="8">
        <f>IF(A616="","",SUM($F$2:F616))</f>
        <v/>
      </c>
      <c r="H616" s="8">
        <f>IF(A616="","",Eingabe!$B$7-G616)</f>
        <v/>
      </c>
      <c r="I616" s="8">
        <f>IF(A616="","",Eingabe!$B$8-SUMIFS($F$2:F616,$D$2:D616,D616))</f>
        <v/>
      </c>
      <c r="J616" s="8">
        <f>IF(A616="","",IF(E616="",1E+99,IFERROR(VLOOKUP(E616,Eingabe!$D$5:$E$44,2,FALSE),Eingabe!$B$9)))</f>
        <v/>
      </c>
      <c r="K616" s="8">
        <f>IF(A616="","",IF(E616="",1E+99,J616-SUMIFS($F$2:F616,$E$2:E616,E616)))</f>
        <v/>
      </c>
      <c r="L616" s="5">
        <f>IF(A616="","",IF(OR(H616&lt;0,I616&lt;0,K616&lt;0),"UNMOEGLICH","OK"))</f>
        <v/>
      </c>
    </row>
    <row r="617">
      <c r="A617" s="7">
        <f>IF(ROW()-1&lt;=Eingabe!$B$4-Eingabe!$B$3+1,Eingabe!$B$3+ROW()-2,"")</f>
        <v/>
      </c>
      <c r="B617" s="5">
        <f>IF(A617="","",TEXT(A617,"yyyy-mm-dd"))</f>
        <v/>
      </c>
      <c r="C617" s="5">
        <f>IF(A617="","",TEXT(A617,"ddd"))</f>
        <v/>
      </c>
      <c r="D617" s="5">
        <f>IF(A617="","",TEXT(A617,"yyyy-mm"))</f>
        <v/>
      </c>
      <c r="E617" s="5">
        <f>IF(A617="","",IF(A617&lt;Eingabe!$B$5,"",INT((A617-Eingabe!$B$5)/(Eingabe!$B$6*7))+1))</f>
        <v/>
      </c>
      <c r="F617" s="8">
        <f>IF(A617="","",SUMPRODUCT((Eingabe!$B$16:$B$165&lt;&gt;"")*(Eingabe!$J$16:$J$165)*--(A617&gt;=Eingabe!$G$16:$G$165)*--(A617&lt;=Eingabe!$H$16:$H$165)*--(WEEKDAY(A617,2)&lt;=5)))</f>
        <v/>
      </c>
      <c r="G617" s="8">
        <f>IF(A617="","",SUM($F$2:F617))</f>
        <v/>
      </c>
      <c r="H617" s="8">
        <f>IF(A617="","",Eingabe!$B$7-G617)</f>
        <v/>
      </c>
      <c r="I617" s="8">
        <f>IF(A617="","",Eingabe!$B$8-SUMIFS($F$2:F617,$D$2:D617,D617))</f>
        <v/>
      </c>
      <c r="J617" s="8">
        <f>IF(A617="","",IF(E617="",1E+99,IFERROR(VLOOKUP(E617,Eingabe!$D$5:$E$44,2,FALSE),Eingabe!$B$9)))</f>
        <v/>
      </c>
      <c r="K617" s="8">
        <f>IF(A617="","",IF(E617="",1E+99,J617-SUMIFS($F$2:F617,$E$2:E617,E617)))</f>
        <v/>
      </c>
      <c r="L617" s="5">
        <f>IF(A617="","",IF(OR(H617&lt;0,I617&lt;0,K617&lt;0),"UNMOEGLICH","OK"))</f>
        <v/>
      </c>
    </row>
    <row r="618">
      <c r="A618" s="7">
        <f>IF(ROW()-1&lt;=Eingabe!$B$4-Eingabe!$B$3+1,Eingabe!$B$3+ROW()-2,"")</f>
        <v/>
      </c>
      <c r="B618" s="5">
        <f>IF(A618="","",TEXT(A618,"yyyy-mm-dd"))</f>
        <v/>
      </c>
      <c r="C618" s="5">
        <f>IF(A618="","",TEXT(A618,"ddd"))</f>
        <v/>
      </c>
      <c r="D618" s="5">
        <f>IF(A618="","",TEXT(A618,"yyyy-mm"))</f>
        <v/>
      </c>
      <c r="E618" s="5">
        <f>IF(A618="","",IF(A618&lt;Eingabe!$B$5,"",INT((A618-Eingabe!$B$5)/(Eingabe!$B$6*7))+1))</f>
        <v/>
      </c>
      <c r="F618" s="8">
        <f>IF(A618="","",SUMPRODUCT((Eingabe!$B$16:$B$165&lt;&gt;"")*(Eingabe!$J$16:$J$165)*--(A618&gt;=Eingabe!$G$16:$G$165)*--(A618&lt;=Eingabe!$H$16:$H$165)*--(WEEKDAY(A618,2)&lt;=5)))</f>
        <v/>
      </c>
      <c r="G618" s="8">
        <f>IF(A618="","",SUM($F$2:F618))</f>
        <v/>
      </c>
      <c r="H618" s="8">
        <f>IF(A618="","",Eingabe!$B$7-G618)</f>
        <v/>
      </c>
      <c r="I618" s="8">
        <f>IF(A618="","",Eingabe!$B$8-SUMIFS($F$2:F618,$D$2:D618,D618))</f>
        <v/>
      </c>
      <c r="J618" s="8">
        <f>IF(A618="","",IF(E618="",1E+99,IFERROR(VLOOKUP(E618,Eingabe!$D$5:$E$44,2,FALSE),Eingabe!$B$9)))</f>
        <v/>
      </c>
      <c r="K618" s="8">
        <f>IF(A618="","",IF(E618="",1E+99,J618-SUMIFS($F$2:F618,$E$2:E618,E618)))</f>
        <v/>
      </c>
      <c r="L618" s="5">
        <f>IF(A618="","",IF(OR(H618&lt;0,I618&lt;0,K618&lt;0),"UNMOEGLICH","OK"))</f>
        <v/>
      </c>
    </row>
    <row r="619">
      <c r="A619" s="7">
        <f>IF(ROW()-1&lt;=Eingabe!$B$4-Eingabe!$B$3+1,Eingabe!$B$3+ROW()-2,"")</f>
        <v/>
      </c>
      <c r="B619" s="5">
        <f>IF(A619="","",TEXT(A619,"yyyy-mm-dd"))</f>
        <v/>
      </c>
      <c r="C619" s="5">
        <f>IF(A619="","",TEXT(A619,"ddd"))</f>
        <v/>
      </c>
      <c r="D619" s="5">
        <f>IF(A619="","",TEXT(A619,"yyyy-mm"))</f>
        <v/>
      </c>
      <c r="E619" s="5">
        <f>IF(A619="","",IF(A619&lt;Eingabe!$B$5,"",INT((A619-Eingabe!$B$5)/(Eingabe!$B$6*7))+1))</f>
        <v/>
      </c>
      <c r="F619" s="8">
        <f>IF(A619="","",SUMPRODUCT((Eingabe!$B$16:$B$165&lt;&gt;"")*(Eingabe!$J$16:$J$165)*--(A619&gt;=Eingabe!$G$16:$G$165)*--(A619&lt;=Eingabe!$H$16:$H$165)*--(WEEKDAY(A619,2)&lt;=5)))</f>
        <v/>
      </c>
      <c r="G619" s="8">
        <f>IF(A619="","",SUM($F$2:F619))</f>
        <v/>
      </c>
      <c r="H619" s="8">
        <f>IF(A619="","",Eingabe!$B$7-G619)</f>
        <v/>
      </c>
      <c r="I619" s="8">
        <f>IF(A619="","",Eingabe!$B$8-SUMIFS($F$2:F619,$D$2:D619,D619))</f>
        <v/>
      </c>
      <c r="J619" s="8">
        <f>IF(A619="","",IF(E619="",1E+99,IFERROR(VLOOKUP(E619,Eingabe!$D$5:$E$44,2,FALSE),Eingabe!$B$9)))</f>
        <v/>
      </c>
      <c r="K619" s="8">
        <f>IF(A619="","",IF(E619="",1E+99,J619-SUMIFS($F$2:F619,$E$2:E619,E619)))</f>
        <v/>
      </c>
      <c r="L619" s="5">
        <f>IF(A619="","",IF(OR(H619&lt;0,I619&lt;0,K619&lt;0),"UNMOEGLICH","OK"))</f>
        <v/>
      </c>
    </row>
    <row r="620">
      <c r="A620" s="7">
        <f>IF(ROW()-1&lt;=Eingabe!$B$4-Eingabe!$B$3+1,Eingabe!$B$3+ROW()-2,"")</f>
        <v/>
      </c>
      <c r="B620" s="5">
        <f>IF(A620="","",TEXT(A620,"yyyy-mm-dd"))</f>
        <v/>
      </c>
      <c r="C620" s="5">
        <f>IF(A620="","",TEXT(A620,"ddd"))</f>
        <v/>
      </c>
      <c r="D620" s="5">
        <f>IF(A620="","",TEXT(A620,"yyyy-mm"))</f>
        <v/>
      </c>
      <c r="E620" s="5">
        <f>IF(A620="","",IF(A620&lt;Eingabe!$B$5,"",INT((A620-Eingabe!$B$5)/(Eingabe!$B$6*7))+1))</f>
        <v/>
      </c>
      <c r="F620" s="8">
        <f>IF(A620="","",SUMPRODUCT((Eingabe!$B$16:$B$165&lt;&gt;"")*(Eingabe!$J$16:$J$165)*--(A620&gt;=Eingabe!$G$16:$G$165)*--(A620&lt;=Eingabe!$H$16:$H$165)*--(WEEKDAY(A620,2)&lt;=5)))</f>
        <v/>
      </c>
      <c r="G620" s="8">
        <f>IF(A620="","",SUM($F$2:F620))</f>
        <v/>
      </c>
      <c r="H620" s="8">
        <f>IF(A620="","",Eingabe!$B$7-G620)</f>
        <v/>
      </c>
      <c r="I620" s="8">
        <f>IF(A620="","",Eingabe!$B$8-SUMIFS($F$2:F620,$D$2:D620,D620))</f>
        <v/>
      </c>
      <c r="J620" s="8">
        <f>IF(A620="","",IF(E620="",1E+99,IFERROR(VLOOKUP(E620,Eingabe!$D$5:$E$44,2,FALSE),Eingabe!$B$9)))</f>
        <v/>
      </c>
      <c r="K620" s="8">
        <f>IF(A620="","",IF(E620="",1E+99,J620-SUMIFS($F$2:F620,$E$2:E620,E620)))</f>
        <v/>
      </c>
      <c r="L620" s="5">
        <f>IF(A620="","",IF(OR(H620&lt;0,I620&lt;0,K620&lt;0),"UNMOEGLICH","OK"))</f>
        <v/>
      </c>
    </row>
    <row r="621">
      <c r="A621" s="7">
        <f>IF(ROW()-1&lt;=Eingabe!$B$4-Eingabe!$B$3+1,Eingabe!$B$3+ROW()-2,"")</f>
        <v/>
      </c>
      <c r="B621" s="5">
        <f>IF(A621="","",TEXT(A621,"yyyy-mm-dd"))</f>
        <v/>
      </c>
      <c r="C621" s="5">
        <f>IF(A621="","",TEXT(A621,"ddd"))</f>
        <v/>
      </c>
      <c r="D621" s="5">
        <f>IF(A621="","",TEXT(A621,"yyyy-mm"))</f>
        <v/>
      </c>
      <c r="E621" s="5">
        <f>IF(A621="","",IF(A621&lt;Eingabe!$B$5,"",INT((A621-Eingabe!$B$5)/(Eingabe!$B$6*7))+1))</f>
        <v/>
      </c>
      <c r="F621" s="8">
        <f>IF(A621="","",SUMPRODUCT((Eingabe!$B$16:$B$165&lt;&gt;"")*(Eingabe!$J$16:$J$165)*--(A621&gt;=Eingabe!$G$16:$G$165)*--(A621&lt;=Eingabe!$H$16:$H$165)*--(WEEKDAY(A621,2)&lt;=5)))</f>
        <v/>
      </c>
      <c r="G621" s="8">
        <f>IF(A621="","",SUM($F$2:F621))</f>
        <v/>
      </c>
      <c r="H621" s="8">
        <f>IF(A621="","",Eingabe!$B$7-G621)</f>
        <v/>
      </c>
      <c r="I621" s="8">
        <f>IF(A621="","",Eingabe!$B$8-SUMIFS($F$2:F621,$D$2:D621,D621))</f>
        <v/>
      </c>
      <c r="J621" s="8">
        <f>IF(A621="","",IF(E621="",1E+99,IFERROR(VLOOKUP(E621,Eingabe!$D$5:$E$44,2,FALSE),Eingabe!$B$9)))</f>
        <v/>
      </c>
      <c r="K621" s="8">
        <f>IF(A621="","",IF(E621="",1E+99,J621-SUMIFS($F$2:F621,$E$2:E621,E621)))</f>
        <v/>
      </c>
      <c r="L621" s="5">
        <f>IF(A621="","",IF(OR(H621&lt;0,I621&lt;0,K621&lt;0),"UNMOEGLICH","OK"))</f>
        <v/>
      </c>
    </row>
    <row r="622">
      <c r="A622" s="7">
        <f>IF(ROW()-1&lt;=Eingabe!$B$4-Eingabe!$B$3+1,Eingabe!$B$3+ROW()-2,"")</f>
        <v/>
      </c>
      <c r="B622" s="5">
        <f>IF(A622="","",TEXT(A622,"yyyy-mm-dd"))</f>
        <v/>
      </c>
      <c r="C622" s="5">
        <f>IF(A622="","",TEXT(A622,"ddd"))</f>
        <v/>
      </c>
      <c r="D622" s="5">
        <f>IF(A622="","",TEXT(A622,"yyyy-mm"))</f>
        <v/>
      </c>
      <c r="E622" s="5">
        <f>IF(A622="","",IF(A622&lt;Eingabe!$B$5,"",INT((A622-Eingabe!$B$5)/(Eingabe!$B$6*7))+1))</f>
        <v/>
      </c>
      <c r="F622" s="8">
        <f>IF(A622="","",SUMPRODUCT((Eingabe!$B$16:$B$165&lt;&gt;"")*(Eingabe!$J$16:$J$165)*--(A622&gt;=Eingabe!$G$16:$G$165)*--(A622&lt;=Eingabe!$H$16:$H$165)*--(WEEKDAY(A622,2)&lt;=5)))</f>
        <v/>
      </c>
      <c r="G622" s="8">
        <f>IF(A622="","",SUM($F$2:F622))</f>
        <v/>
      </c>
      <c r="H622" s="8">
        <f>IF(A622="","",Eingabe!$B$7-G622)</f>
        <v/>
      </c>
      <c r="I622" s="8">
        <f>IF(A622="","",Eingabe!$B$8-SUMIFS($F$2:F622,$D$2:D622,D622))</f>
        <v/>
      </c>
      <c r="J622" s="8">
        <f>IF(A622="","",IF(E622="",1E+99,IFERROR(VLOOKUP(E622,Eingabe!$D$5:$E$44,2,FALSE),Eingabe!$B$9)))</f>
        <v/>
      </c>
      <c r="K622" s="8">
        <f>IF(A622="","",IF(E622="",1E+99,J622-SUMIFS($F$2:F622,$E$2:E622,E622)))</f>
        <v/>
      </c>
      <c r="L622" s="5">
        <f>IF(A622="","",IF(OR(H622&lt;0,I622&lt;0,K622&lt;0),"UNMOEGLICH","OK"))</f>
        <v/>
      </c>
    </row>
    <row r="623">
      <c r="A623" s="7">
        <f>IF(ROW()-1&lt;=Eingabe!$B$4-Eingabe!$B$3+1,Eingabe!$B$3+ROW()-2,"")</f>
        <v/>
      </c>
      <c r="B623" s="5">
        <f>IF(A623="","",TEXT(A623,"yyyy-mm-dd"))</f>
        <v/>
      </c>
      <c r="C623" s="5">
        <f>IF(A623="","",TEXT(A623,"ddd"))</f>
        <v/>
      </c>
      <c r="D623" s="5">
        <f>IF(A623="","",TEXT(A623,"yyyy-mm"))</f>
        <v/>
      </c>
      <c r="E623" s="5">
        <f>IF(A623="","",IF(A623&lt;Eingabe!$B$5,"",INT((A623-Eingabe!$B$5)/(Eingabe!$B$6*7))+1))</f>
        <v/>
      </c>
      <c r="F623" s="8">
        <f>IF(A623="","",SUMPRODUCT((Eingabe!$B$16:$B$165&lt;&gt;"")*(Eingabe!$J$16:$J$165)*--(A623&gt;=Eingabe!$G$16:$G$165)*--(A623&lt;=Eingabe!$H$16:$H$165)*--(WEEKDAY(A623,2)&lt;=5)))</f>
        <v/>
      </c>
      <c r="G623" s="8">
        <f>IF(A623="","",SUM($F$2:F623))</f>
        <v/>
      </c>
      <c r="H623" s="8">
        <f>IF(A623="","",Eingabe!$B$7-G623)</f>
        <v/>
      </c>
      <c r="I623" s="8">
        <f>IF(A623="","",Eingabe!$B$8-SUMIFS($F$2:F623,$D$2:D623,D623))</f>
        <v/>
      </c>
      <c r="J623" s="8">
        <f>IF(A623="","",IF(E623="",1E+99,IFERROR(VLOOKUP(E623,Eingabe!$D$5:$E$44,2,FALSE),Eingabe!$B$9)))</f>
        <v/>
      </c>
      <c r="K623" s="8">
        <f>IF(A623="","",IF(E623="",1E+99,J623-SUMIFS($F$2:F623,$E$2:E623,E623)))</f>
        <v/>
      </c>
      <c r="L623" s="5">
        <f>IF(A623="","",IF(OR(H623&lt;0,I623&lt;0,K623&lt;0),"UNMOEGLICH","OK"))</f>
        <v/>
      </c>
    </row>
    <row r="624">
      <c r="A624" s="7">
        <f>IF(ROW()-1&lt;=Eingabe!$B$4-Eingabe!$B$3+1,Eingabe!$B$3+ROW()-2,"")</f>
        <v/>
      </c>
      <c r="B624" s="5">
        <f>IF(A624="","",TEXT(A624,"yyyy-mm-dd"))</f>
        <v/>
      </c>
      <c r="C624" s="5">
        <f>IF(A624="","",TEXT(A624,"ddd"))</f>
        <v/>
      </c>
      <c r="D624" s="5">
        <f>IF(A624="","",TEXT(A624,"yyyy-mm"))</f>
        <v/>
      </c>
      <c r="E624" s="5">
        <f>IF(A624="","",IF(A624&lt;Eingabe!$B$5,"",INT((A624-Eingabe!$B$5)/(Eingabe!$B$6*7))+1))</f>
        <v/>
      </c>
      <c r="F624" s="8">
        <f>IF(A624="","",SUMPRODUCT((Eingabe!$B$16:$B$165&lt;&gt;"")*(Eingabe!$J$16:$J$165)*--(A624&gt;=Eingabe!$G$16:$G$165)*--(A624&lt;=Eingabe!$H$16:$H$165)*--(WEEKDAY(A624,2)&lt;=5)))</f>
        <v/>
      </c>
      <c r="G624" s="8">
        <f>IF(A624="","",SUM($F$2:F624))</f>
        <v/>
      </c>
      <c r="H624" s="8">
        <f>IF(A624="","",Eingabe!$B$7-G624)</f>
        <v/>
      </c>
      <c r="I624" s="8">
        <f>IF(A624="","",Eingabe!$B$8-SUMIFS($F$2:F624,$D$2:D624,D624))</f>
        <v/>
      </c>
      <c r="J624" s="8">
        <f>IF(A624="","",IF(E624="",1E+99,IFERROR(VLOOKUP(E624,Eingabe!$D$5:$E$44,2,FALSE),Eingabe!$B$9)))</f>
        <v/>
      </c>
      <c r="K624" s="8">
        <f>IF(A624="","",IF(E624="",1E+99,J624-SUMIFS($F$2:F624,$E$2:E624,E624)))</f>
        <v/>
      </c>
      <c r="L624" s="5">
        <f>IF(A624="","",IF(OR(H624&lt;0,I624&lt;0,K624&lt;0),"UNMOEGLICH","OK"))</f>
        <v/>
      </c>
    </row>
    <row r="625">
      <c r="A625" s="7">
        <f>IF(ROW()-1&lt;=Eingabe!$B$4-Eingabe!$B$3+1,Eingabe!$B$3+ROW()-2,"")</f>
        <v/>
      </c>
      <c r="B625" s="5">
        <f>IF(A625="","",TEXT(A625,"yyyy-mm-dd"))</f>
        <v/>
      </c>
      <c r="C625" s="5">
        <f>IF(A625="","",TEXT(A625,"ddd"))</f>
        <v/>
      </c>
      <c r="D625" s="5">
        <f>IF(A625="","",TEXT(A625,"yyyy-mm"))</f>
        <v/>
      </c>
      <c r="E625" s="5">
        <f>IF(A625="","",IF(A625&lt;Eingabe!$B$5,"",INT((A625-Eingabe!$B$5)/(Eingabe!$B$6*7))+1))</f>
        <v/>
      </c>
      <c r="F625" s="8">
        <f>IF(A625="","",SUMPRODUCT((Eingabe!$B$16:$B$165&lt;&gt;"")*(Eingabe!$J$16:$J$165)*--(A625&gt;=Eingabe!$G$16:$G$165)*--(A625&lt;=Eingabe!$H$16:$H$165)*--(WEEKDAY(A625,2)&lt;=5)))</f>
        <v/>
      </c>
      <c r="G625" s="8">
        <f>IF(A625="","",SUM($F$2:F625))</f>
        <v/>
      </c>
      <c r="H625" s="8">
        <f>IF(A625="","",Eingabe!$B$7-G625)</f>
        <v/>
      </c>
      <c r="I625" s="8">
        <f>IF(A625="","",Eingabe!$B$8-SUMIFS($F$2:F625,$D$2:D625,D625))</f>
        <v/>
      </c>
      <c r="J625" s="8">
        <f>IF(A625="","",IF(E625="",1E+99,IFERROR(VLOOKUP(E625,Eingabe!$D$5:$E$44,2,FALSE),Eingabe!$B$9)))</f>
        <v/>
      </c>
      <c r="K625" s="8">
        <f>IF(A625="","",IF(E625="",1E+99,J625-SUMIFS($F$2:F625,$E$2:E625,E625)))</f>
        <v/>
      </c>
      <c r="L625" s="5">
        <f>IF(A625="","",IF(OR(H625&lt;0,I625&lt;0,K625&lt;0),"UNMOEGLICH","OK"))</f>
        <v/>
      </c>
    </row>
    <row r="626">
      <c r="A626" s="7">
        <f>IF(ROW()-1&lt;=Eingabe!$B$4-Eingabe!$B$3+1,Eingabe!$B$3+ROW()-2,"")</f>
        <v/>
      </c>
      <c r="B626" s="5">
        <f>IF(A626="","",TEXT(A626,"yyyy-mm-dd"))</f>
        <v/>
      </c>
      <c r="C626" s="5">
        <f>IF(A626="","",TEXT(A626,"ddd"))</f>
        <v/>
      </c>
      <c r="D626" s="5">
        <f>IF(A626="","",TEXT(A626,"yyyy-mm"))</f>
        <v/>
      </c>
      <c r="E626" s="5">
        <f>IF(A626="","",IF(A626&lt;Eingabe!$B$5,"",INT((A626-Eingabe!$B$5)/(Eingabe!$B$6*7))+1))</f>
        <v/>
      </c>
      <c r="F626" s="8">
        <f>IF(A626="","",SUMPRODUCT((Eingabe!$B$16:$B$165&lt;&gt;"")*(Eingabe!$J$16:$J$165)*--(A626&gt;=Eingabe!$G$16:$G$165)*--(A626&lt;=Eingabe!$H$16:$H$165)*--(WEEKDAY(A626,2)&lt;=5)))</f>
        <v/>
      </c>
      <c r="G626" s="8">
        <f>IF(A626="","",SUM($F$2:F626))</f>
        <v/>
      </c>
      <c r="H626" s="8">
        <f>IF(A626="","",Eingabe!$B$7-G626)</f>
        <v/>
      </c>
      <c r="I626" s="8">
        <f>IF(A626="","",Eingabe!$B$8-SUMIFS($F$2:F626,$D$2:D626,D626))</f>
        <v/>
      </c>
      <c r="J626" s="8">
        <f>IF(A626="","",IF(E626="",1E+99,IFERROR(VLOOKUP(E626,Eingabe!$D$5:$E$44,2,FALSE),Eingabe!$B$9)))</f>
        <v/>
      </c>
      <c r="K626" s="8">
        <f>IF(A626="","",IF(E626="",1E+99,J626-SUMIFS($F$2:F626,$E$2:E626,E626)))</f>
        <v/>
      </c>
      <c r="L626" s="5">
        <f>IF(A626="","",IF(OR(H626&lt;0,I626&lt;0,K626&lt;0),"UNMOEGLICH","OK"))</f>
        <v/>
      </c>
    </row>
    <row r="627">
      <c r="A627" s="7">
        <f>IF(ROW()-1&lt;=Eingabe!$B$4-Eingabe!$B$3+1,Eingabe!$B$3+ROW()-2,"")</f>
        <v/>
      </c>
      <c r="B627" s="5">
        <f>IF(A627="","",TEXT(A627,"yyyy-mm-dd"))</f>
        <v/>
      </c>
      <c r="C627" s="5">
        <f>IF(A627="","",TEXT(A627,"ddd"))</f>
        <v/>
      </c>
      <c r="D627" s="5">
        <f>IF(A627="","",TEXT(A627,"yyyy-mm"))</f>
        <v/>
      </c>
      <c r="E627" s="5">
        <f>IF(A627="","",IF(A627&lt;Eingabe!$B$5,"",INT((A627-Eingabe!$B$5)/(Eingabe!$B$6*7))+1))</f>
        <v/>
      </c>
      <c r="F627" s="8">
        <f>IF(A627="","",SUMPRODUCT((Eingabe!$B$16:$B$165&lt;&gt;"")*(Eingabe!$J$16:$J$165)*--(A627&gt;=Eingabe!$G$16:$G$165)*--(A627&lt;=Eingabe!$H$16:$H$165)*--(WEEKDAY(A627,2)&lt;=5)))</f>
        <v/>
      </c>
      <c r="G627" s="8">
        <f>IF(A627="","",SUM($F$2:F627))</f>
        <v/>
      </c>
      <c r="H627" s="8">
        <f>IF(A627="","",Eingabe!$B$7-G627)</f>
        <v/>
      </c>
      <c r="I627" s="8">
        <f>IF(A627="","",Eingabe!$B$8-SUMIFS($F$2:F627,$D$2:D627,D627))</f>
        <v/>
      </c>
      <c r="J627" s="8">
        <f>IF(A627="","",IF(E627="",1E+99,IFERROR(VLOOKUP(E627,Eingabe!$D$5:$E$44,2,FALSE),Eingabe!$B$9)))</f>
        <v/>
      </c>
      <c r="K627" s="8">
        <f>IF(A627="","",IF(E627="",1E+99,J627-SUMIFS($F$2:F627,$E$2:E627,E627)))</f>
        <v/>
      </c>
      <c r="L627" s="5">
        <f>IF(A627="","",IF(OR(H627&lt;0,I627&lt;0,K627&lt;0),"UNMOEGLICH","OK"))</f>
        <v/>
      </c>
    </row>
    <row r="628">
      <c r="A628" s="7">
        <f>IF(ROW()-1&lt;=Eingabe!$B$4-Eingabe!$B$3+1,Eingabe!$B$3+ROW()-2,"")</f>
        <v/>
      </c>
      <c r="B628" s="5">
        <f>IF(A628="","",TEXT(A628,"yyyy-mm-dd"))</f>
        <v/>
      </c>
      <c r="C628" s="5">
        <f>IF(A628="","",TEXT(A628,"ddd"))</f>
        <v/>
      </c>
      <c r="D628" s="5">
        <f>IF(A628="","",TEXT(A628,"yyyy-mm"))</f>
        <v/>
      </c>
      <c r="E628" s="5">
        <f>IF(A628="","",IF(A628&lt;Eingabe!$B$5,"",INT((A628-Eingabe!$B$5)/(Eingabe!$B$6*7))+1))</f>
        <v/>
      </c>
      <c r="F628" s="8">
        <f>IF(A628="","",SUMPRODUCT((Eingabe!$B$16:$B$165&lt;&gt;"")*(Eingabe!$J$16:$J$165)*--(A628&gt;=Eingabe!$G$16:$G$165)*--(A628&lt;=Eingabe!$H$16:$H$165)*--(WEEKDAY(A628,2)&lt;=5)))</f>
        <v/>
      </c>
      <c r="G628" s="8">
        <f>IF(A628="","",SUM($F$2:F628))</f>
        <v/>
      </c>
      <c r="H628" s="8">
        <f>IF(A628="","",Eingabe!$B$7-G628)</f>
        <v/>
      </c>
      <c r="I628" s="8">
        <f>IF(A628="","",Eingabe!$B$8-SUMIFS($F$2:F628,$D$2:D628,D628))</f>
        <v/>
      </c>
      <c r="J628" s="8">
        <f>IF(A628="","",IF(E628="",1E+99,IFERROR(VLOOKUP(E628,Eingabe!$D$5:$E$44,2,FALSE),Eingabe!$B$9)))</f>
        <v/>
      </c>
      <c r="K628" s="8">
        <f>IF(A628="","",IF(E628="",1E+99,J628-SUMIFS($F$2:F628,$E$2:E628,E628)))</f>
        <v/>
      </c>
      <c r="L628" s="5">
        <f>IF(A628="","",IF(OR(H628&lt;0,I628&lt;0,K628&lt;0),"UNMOEGLICH","OK"))</f>
        <v/>
      </c>
    </row>
    <row r="629">
      <c r="A629" s="7">
        <f>IF(ROW()-1&lt;=Eingabe!$B$4-Eingabe!$B$3+1,Eingabe!$B$3+ROW()-2,"")</f>
        <v/>
      </c>
      <c r="B629" s="5">
        <f>IF(A629="","",TEXT(A629,"yyyy-mm-dd"))</f>
        <v/>
      </c>
      <c r="C629" s="5">
        <f>IF(A629="","",TEXT(A629,"ddd"))</f>
        <v/>
      </c>
      <c r="D629" s="5">
        <f>IF(A629="","",TEXT(A629,"yyyy-mm"))</f>
        <v/>
      </c>
      <c r="E629" s="5">
        <f>IF(A629="","",IF(A629&lt;Eingabe!$B$5,"",INT((A629-Eingabe!$B$5)/(Eingabe!$B$6*7))+1))</f>
        <v/>
      </c>
      <c r="F629" s="8">
        <f>IF(A629="","",SUMPRODUCT((Eingabe!$B$16:$B$165&lt;&gt;"")*(Eingabe!$J$16:$J$165)*--(A629&gt;=Eingabe!$G$16:$G$165)*--(A629&lt;=Eingabe!$H$16:$H$165)*--(WEEKDAY(A629,2)&lt;=5)))</f>
        <v/>
      </c>
      <c r="G629" s="8">
        <f>IF(A629="","",SUM($F$2:F629))</f>
        <v/>
      </c>
      <c r="H629" s="8">
        <f>IF(A629="","",Eingabe!$B$7-G629)</f>
        <v/>
      </c>
      <c r="I629" s="8">
        <f>IF(A629="","",Eingabe!$B$8-SUMIFS($F$2:F629,$D$2:D629,D629))</f>
        <v/>
      </c>
      <c r="J629" s="8">
        <f>IF(A629="","",IF(E629="",1E+99,IFERROR(VLOOKUP(E629,Eingabe!$D$5:$E$44,2,FALSE),Eingabe!$B$9)))</f>
        <v/>
      </c>
      <c r="K629" s="8">
        <f>IF(A629="","",IF(E629="",1E+99,J629-SUMIFS($F$2:F629,$E$2:E629,E629)))</f>
        <v/>
      </c>
      <c r="L629" s="5">
        <f>IF(A629="","",IF(OR(H629&lt;0,I629&lt;0,K629&lt;0),"UNMOEGLICH","OK"))</f>
        <v/>
      </c>
    </row>
    <row r="630">
      <c r="A630" s="7">
        <f>IF(ROW()-1&lt;=Eingabe!$B$4-Eingabe!$B$3+1,Eingabe!$B$3+ROW()-2,"")</f>
        <v/>
      </c>
      <c r="B630" s="5">
        <f>IF(A630="","",TEXT(A630,"yyyy-mm-dd"))</f>
        <v/>
      </c>
      <c r="C630" s="5">
        <f>IF(A630="","",TEXT(A630,"ddd"))</f>
        <v/>
      </c>
      <c r="D630" s="5">
        <f>IF(A630="","",TEXT(A630,"yyyy-mm"))</f>
        <v/>
      </c>
      <c r="E630" s="5">
        <f>IF(A630="","",IF(A630&lt;Eingabe!$B$5,"",INT((A630-Eingabe!$B$5)/(Eingabe!$B$6*7))+1))</f>
        <v/>
      </c>
      <c r="F630" s="8">
        <f>IF(A630="","",SUMPRODUCT((Eingabe!$B$16:$B$165&lt;&gt;"")*(Eingabe!$J$16:$J$165)*--(A630&gt;=Eingabe!$G$16:$G$165)*--(A630&lt;=Eingabe!$H$16:$H$165)*--(WEEKDAY(A630,2)&lt;=5)))</f>
        <v/>
      </c>
      <c r="G630" s="8">
        <f>IF(A630="","",SUM($F$2:F630))</f>
        <v/>
      </c>
      <c r="H630" s="8">
        <f>IF(A630="","",Eingabe!$B$7-G630)</f>
        <v/>
      </c>
      <c r="I630" s="8">
        <f>IF(A630="","",Eingabe!$B$8-SUMIFS($F$2:F630,$D$2:D630,D630))</f>
        <v/>
      </c>
      <c r="J630" s="8">
        <f>IF(A630="","",IF(E630="",1E+99,IFERROR(VLOOKUP(E630,Eingabe!$D$5:$E$44,2,FALSE),Eingabe!$B$9)))</f>
        <v/>
      </c>
      <c r="K630" s="8">
        <f>IF(A630="","",IF(E630="",1E+99,J630-SUMIFS($F$2:F630,$E$2:E630,E630)))</f>
        <v/>
      </c>
      <c r="L630" s="5">
        <f>IF(A630="","",IF(OR(H630&lt;0,I630&lt;0,K630&lt;0),"UNMOEGLICH","OK"))</f>
        <v/>
      </c>
    </row>
    <row r="631">
      <c r="A631" s="7">
        <f>IF(ROW()-1&lt;=Eingabe!$B$4-Eingabe!$B$3+1,Eingabe!$B$3+ROW()-2,"")</f>
        <v/>
      </c>
      <c r="B631" s="5">
        <f>IF(A631="","",TEXT(A631,"yyyy-mm-dd"))</f>
        <v/>
      </c>
      <c r="C631" s="5">
        <f>IF(A631="","",TEXT(A631,"ddd"))</f>
        <v/>
      </c>
      <c r="D631" s="5">
        <f>IF(A631="","",TEXT(A631,"yyyy-mm"))</f>
        <v/>
      </c>
      <c r="E631" s="5">
        <f>IF(A631="","",IF(A631&lt;Eingabe!$B$5,"",INT((A631-Eingabe!$B$5)/(Eingabe!$B$6*7))+1))</f>
        <v/>
      </c>
      <c r="F631" s="8">
        <f>IF(A631="","",SUMPRODUCT((Eingabe!$B$16:$B$165&lt;&gt;"")*(Eingabe!$J$16:$J$165)*--(A631&gt;=Eingabe!$G$16:$G$165)*--(A631&lt;=Eingabe!$H$16:$H$165)*--(WEEKDAY(A631,2)&lt;=5)))</f>
        <v/>
      </c>
      <c r="G631" s="8">
        <f>IF(A631="","",SUM($F$2:F631))</f>
        <v/>
      </c>
      <c r="H631" s="8">
        <f>IF(A631="","",Eingabe!$B$7-G631)</f>
        <v/>
      </c>
      <c r="I631" s="8">
        <f>IF(A631="","",Eingabe!$B$8-SUMIFS($F$2:F631,$D$2:D631,D631))</f>
        <v/>
      </c>
      <c r="J631" s="8">
        <f>IF(A631="","",IF(E631="",1E+99,IFERROR(VLOOKUP(E631,Eingabe!$D$5:$E$44,2,FALSE),Eingabe!$B$9)))</f>
        <v/>
      </c>
      <c r="K631" s="8">
        <f>IF(A631="","",IF(E631="",1E+99,J631-SUMIFS($F$2:F631,$E$2:E631,E631)))</f>
        <v/>
      </c>
      <c r="L631" s="5">
        <f>IF(A631="","",IF(OR(H631&lt;0,I631&lt;0,K631&lt;0),"UNMOEGLICH","OK"))</f>
        <v/>
      </c>
    </row>
    <row r="632">
      <c r="A632" s="7">
        <f>IF(ROW()-1&lt;=Eingabe!$B$4-Eingabe!$B$3+1,Eingabe!$B$3+ROW()-2,"")</f>
        <v/>
      </c>
      <c r="B632" s="5">
        <f>IF(A632="","",TEXT(A632,"yyyy-mm-dd"))</f>
        <v/>
      </c>
      <c r="C632" s="5">
        <f>IF(A632="","",TEXT(A632,"ddd"))</f>
        <v/>
      </c>
      <c r="D632" s="5">
        <f>IF(A632="","",TEXT(A632,"yyyy-mm"))</f>
        <v/>
      </c>
      <c r="E632" s="5">
        <f>IF(A632="","",IF(A632&lt;Eingabe!$B$5,"",INT((A632-Eingabe!$B$5)/(Eingabe!$B$6*7))+1))</f>
        <v/>
      </c>
      <c r="F632" s="8">
        <f>IF(A632="","",SUMPRODUCT((Eingabe!$B$16:$B$165&lt;&gt;"")*(Eingabe!$J$16:$J$165)*--(A632&gt;=Eingabe!$G$16:$G$165)*--(A632&lt;=Eingabe!$H$16:$H$165)*--(WEEKDAY(A632,2)&lt;=5)))</f>
        <v/>
      </c>
      <c r="G632" s="8">
        <f>IF(A632="","",SUM($F$2:F632))</f>
        <v/>
      </c>
      <c r="H632" s="8">
        <f>IF(A632="","",Eingabe!$B$7-G632)</f>
        <v/>
      </c>
      <c r="I632" s="8">
        <f>IF(A632="","",Eingabe!$B$8-SUMIFS($F$2:F632,$D$2:D632,D632))</f>
        <v/>
      </c>
      <c r="J632" s="8">
        <f>IF(A632="","",IF(E632="",1E+99,IFERROR(VLOOKUP(E632,Eingabe!$D$5:$E$44,2,FALSE),Eingabe!$B$9)))</f>
        <v/>
      </c>
      <c r="K632" s="8">
        <f>IF(A632="","",IF(E632="",1E+99,J632-SUMIFS($F$2:F632,$E$2:E632,E632)))</f>
        <v/>
      </c>
      <c r="L632" s="5">
        <f>IF(A632="","",IF(OR(H632&lt;0,I632&lt;0,K632&lt;0),"UNMOEGLICH","OK"))</f>
        <v/>
      </c>
    </row>
    <row r="633">
      <c r="A633" s="7">
        <f>IF(ROW()-1&lt;=Eingabe!$B$4-Eingabe!$B$3+1,Eingabe!$B$3+ROW()-2,"")</f>
        <v/>
      </c>
      <c r="B633" s="5">
        <f>IF(A633="","",TEXT(A633,"yyyy-mm-dd"))</f>
        <v/>
      </c>
      <c r="C633" s="5">
        <f>IF(A633="","",TEXT(A633,"ddd"))</f>
        <v/>
      </c>
      <c r="D633" s="5">
        <f>IF(A633="","",TEXT(A633,"yyyy-mm"))</f>
        <v/>
      </c>
      <c r="E633" s="5">
        <f>IF(A633="","",IF(A633&lt;Eingabe!$B$5,"",INT((A633-Eingabe!$B$5)/(Eingabe!$B$6*7))+1))</f>
        <v/>
      </c>
      <c r="F633" s="8">
        <f>IF(A633="","",SUMPRODUCT((Eingabe!$B$16:$B$165&lt;&gt;"")*(Eingabe!$J$16:$J$165)*--(A633&gt;=Eingabe!$G$16:$G$165)*--(A633&lt;=Eingabe!$H$16:$H$165)*--(WEEKDAY(A633,2)&lt;=5)))</f>
        <v/>
      </c>
      <c r="G633" s="8">
        <f>IF(A633="","",SUM($F$2:F633))</f>
        <v/>
      </c>
      <c r="H633" s="8">
        <f>IF(A633="","",Eingabe!$B$7-G633)</f>
        <v/>
      </c>
      <c r="I633" s="8">
        <f>IF(A633="","",Eingabe!$B$8-SUMIFS($F$2:F633,$D$2:D633,D633))</f>
        <v/>
      </c>
      <c r="J633" s="8">
        <f>IF(A633="","",IF(E633="",1E+99,IFERROR(VLOOKUP(E633,Eingabe!$D$5:$E$44,2,FALSE),Eingabe!$B$9)))</f>
        <v/>
      </c>
      <c r="K633" s="8">
        <f>IF(A633="","",IF(E633="",1E+99,J633-SUMIFS($F$2:F633,$E$2:E633,E633)))</f>
        <v/>
      </c>
      <c r="L633" s="5">
        <f>IF(A633="","",IF(OR(H633&lt;0,I633&lt;0,K633&lt;0),"UNMOEGLICH","OK"))</f>
        <v/>
      </c>
    </row>
    <row r="634">
      <c r="A634" s="7">
        <f>IF(ROW()-1&lt;=Eingabe!$B$4-Eingabe!$B$3+1,Eingabe!$B$3+ROW()-2,"")</f>
        <v/>
      </c>
      <c r="B634" s="5">
        <f>IF(A634="","",TEXT(A634,"yyyy-mm-dd"))</f>
        <v/>
      </c>
      <c r="C634" s="5">
        <f>IF(A634="","",TEXT(A634,"ddd"))</f>
        <v/>
      </c>
      <c r="D634" s="5">
        <f>IF(A634="","",TEXT(A634,"yyyy-mm"))</f>
        <v/>
      </c>
      <c r="E634" s="5">
        <f>IF(A634="","",IF(A634&lt;Eingabe!$B$5,"",INT((A634-Eingabe!$B$5)/(Eingabe!$B$6*7))+1))</f>
        <v/>
      </c>
      <c r="F634" s="8">
        <f>IF(A634="","",SUMPRODUCT((Eingabe!$B$16:$B$165&lt;&gt;"")*(Eingabe!$J$16:$J$165)*--(A634&gt;=Eingabe!$G$16:$G$165)*--(A634&lt;=Eingabe!$H$16:$H$165)*--(WEEKDAY(A634,2)&lt;=5)))</f>
        <v/>
      </c>
      <c r="G634" s="8">
        <f>IF(A634="","",SUM($F$2:F634))</f>
        <v/>
      </c>
      <c r="H634" s="8">
        <f>IF(A634="","",Eingabe!$B$7-G634)</f>
        <v/>
      </c>
      <c r="I634" s="8">
        <f>IF(A634="","",Eingabe!$B$8-SUMIFS($F$2:F634,$D$2:D634,D634))</f>
        <v/>
      </c>
      <c r="J634" s="8">
        <f>IF(A634="","",IF(E634="",1E+99,IFERROR(VLOOKUP(E634,Eingabe!$D$5:$E$44,2,FALSE),Eingabe!$B$9)))</f>
        <v/>
      </c>
      <c r="K634" s="8">
        <f>IF(A634="","",IF(E634="",1E+99,J634-SUMIFS($F$2:F634,$E$2:E634,E634)))</f>
        <v/>
      </c>
      <c r="L634" s="5">
        <f>IF(A634="","",IF(OR(H634&lt;0,I634&lt;0,K634&lt;0),"UNMOEGLICH","OK"))</f>
        <v/>
      </c>
    </row>
    <row r="635">
      <c r="A635" s="7">
        <f>IF(ROW()-1&lt;=Eingabe!$B$4-Eingabe!$B$3+1,Eingabe!$B$3+ROW()-2,"")</f>
        <v/>
      </c>
      <c r="B635" s="5">
        <f>IF(A635="","",TEXT(A635,"yyyy-mm-dd"))</f>
        <v/>
      </c>
      <c r="C635" s="5">
        <f>IF(A635="","",TEXT(A635,"ddd"))</f>
        <v/>
      </c>
      <c r="D635" s="5">
        <f>IF(A635="","",TEXT(A635,"yyyy-mm"))</f>
        <v/>
      </c>
      <c r="E635" s="5">
        <f>IF(A635="","",IF(A635&lt;Eingabe!$B$5,"",INT((A635-Eingabe!$B$5)/(Eingabe!$B$6*7))+1))</f>
        <v/>
      </c>
      <c r="F635" s="8">
        <f>IF(A635="","",SUMPRODUCT((Eingabe!$B$16:$B$165&lt;&gt;"")*(Eingabe!$J$16:$J$165)*--(A635&gt;=Eingabe!$G$16:$G$165)*--(A635&lt;=Eingabe!$H$16:$H$165)*--(WEEKDAY(A635,2)&lt;=5)))</f>
        <v/>
      </c>
      <c r="G635" s="8">
        <f>IF(A635="","",SUM($F$2:F635))</f>
        <v/>
      </c>
      <c r="H635" s="8">
        <f>IF(A635="","",Eingabe!$B$7-G635)</f>
        <v/>
      </c>
      <c r="I635" s="8">
        <f>IF(A635="","",Eingabe!$B$8-SUMIFS($F$2:F635,$D$2:D635,D635))</f>
        <v/>
      </c>
      <c r="J635" s="8">
        <f>IF(A635="","",IF(E635="",1E+99,IFERROR(VLOOKUP(E635,Eingabe!$D$5:$E$44,2,FALSE),Eingabe!$B$9)))</f>
        <v/>
      </c>
      <c r="K635" s="8">
        <f>IF(A635="","",IF(E635="",1E+99,J635-SUMIFS($F$2:F635,$E$2:E635,E635)))</f>
        <v/>
      </c>
      <c r="L635" s="5">
        <f>IF(A635="","",IF(OR(H635&lt;0,I635&lt;0,K635&lt;0),"UNMOEGLICH","OK"))</f>
        <v/>
      </c>
    </row>
    <row r="636">
      <c r="A636" s="7">
        <f>IF(ROW()-1&lt;=Eingabe!$B$4-Eingabe!$B$3+1,Eingabe!$B$3+ROW()-2,"")</f>
        <v/>
      </c>
      <c r="B636" s="5">
        <f>IF(A636="","",TEXT(A636,"yyyy-mm-dd"))</f>
        <v/>
      </c>
      <c r="C636" s="5">
        <f>IF(A636="","",TEXT(A636,"ddd"))</f>
        <v/>
      </c>
      <c r="D636" s="5">
        <f>IF(A636="","",TEXT(A636,"yyyy-mm"))</f>
        <v/>
      </c>
      <c r="E636" s="5">
        <f>IF(A636="","",IF(A636&lt;Eingabe!$B$5,"",INT((A636-Eingabe!$B$5)/(Eingabe!$B$6*7))+1))</f>
        <v/>
      </c>
      <c r="F636" s="8">
        <f>IF(A636="","",SUMPRODUCT((Eingabe!$B$16:$B$165&lt;&gt;"")*(Eingabe!$J$16:$J$165)*--(A636&gt;=Eingabe!$G$16:$G$165)*--(A636&lt;=Eingabe!$H$16:$H$165)*--(WEEKDAY(A636,2)&lt;=5)))</f>
        <v/>
      </c>
      <c r="G636" s="8">
        <f>IF(A636="","",SUM($F$2:F636))</f>
        <v/>
      </c>
      <c r="H636" s="8">
        <f>IF(A636="","",Eingabe!$B$7-G636)</f>
        <v/>
      </c>
      <c r="I636" s="8">
        <f>IF(A636="","",Eingabe!$B$8-SUMIFS($F$2:F636,$D$2:D636,D636))</f>
        <v/>
      </c>
      <c r="J636" s="8">
        <f>IF(A636="","",IF(E636="",1E+99,IFERROR(VLOOKUP(E636,Eingabe!$D$5:$E$44,2,FALSE),Eingabe!$B$9)))</f>
        <v/>
      </c>
      <c r="K636" s="8">
        <f>IF(A636="","",IF(E636="",1E+99,J636-SUMIFS($F$2:F636,$E$2:E636,E636)))</f>
        <v/>
      </c>
      <c r="L636" s="5">
        <f>IF(A636="","",IF(OR(H636&lt;0,I636&lt;0,K636&lt;0),"UNMOEGLICH","OK"))</f>
        <v/>
      </c>
    </row>
    <row r="637">
      <c r="A637" s="7">
        <f>IF(ROW()-1&lt;=Eingabe!$B$4-Eingabe!$B$3+1,Eingabe!$B$3+ROW()-2,"")</f>
        <v/>
      </c>
      <c r="B637" s="5">
        <f>IF(A637="","",TEXT(A637,"yyyy-mm-dd"))</f>
        <v/>
      </c>
      <c r="C637" s="5">
        <f>IF(A637="","",TEXT(A637,"ddd"))</f>
        <v/>
      </c>
      <c r="D637" s="5">
        <f>IF(A637="","",TEXT(A637,"yyyy-mm"))</f>
        <v/>
      </c>
      <c r="E637" s="5">
        <f>IF(A637="","",IF(A637&lt;Eingabe!$B$5,"",INT((A637-Eingabe!$B$5)/(Eingabe!$B$6*7))+1))</f>
        <v/>
      </c>
      <c r="F637" s="8">
        <f>IF(A637="","",SUMPRODUCT((Eingabe!$B$16:$B$165&lt;&gt;"")*(Eingabe!$J$16:$J$165)*--(A637&gt;=Eingabe!$G$16:$G$165)*--(A637&lt;=Eingabe!$H$16:$H$165)*--(WEEKDAY(A637,2)&lt;=5)))</f>
        <v/>
      </c>
      <c r="G637" s="8">
        <f>IF(A637="","",SUM($F$2:F637))</f>
        <v/>
      </c>
      <c r="H637" s="8">
        <f>IF(A637="","",Eingabe!$B$7-G637)</f>
        <v/>
      </c>
      <c r="I637" s="8">
        <f>IF(A637="","",Eingabe!$B$8-SUMIFS($F$2:F637,$D$2:D637,D637))</f>
        <v/>
      </c>
      <c r="J637" s="8">
        <f>IF(A637="","",IF(E637="",1E+99,IFERROR(VLOOKUP(E637,Eingabe!$D$5:$E$44,2,FALSE),Eingabe!$B$9)))</f>
        <v/>
      </c>
      <c r="K637" s="8">
        <f>IF(A637="","",IF(E637="",1E+99,J637-SUMIFS($F$2:F637,$E$2:E637,E637)))</f>
        <v/>
      </c>
      <c r="L637" s="5">
        <f>IF(A637="","",IF(OR(H637&lt;0,I637&lt;0,K637&lt;0),"UNMOEGLICH","OK"))</f>
        <v/>
      </c>
    </row>
    <row r="638">
      <c r="A638" s="7">
        <f>IF(ROW()-1&lt;=Eingabe!$B$4-Eingabe!$B$3+1,Eingabe!$B$3+ROW()-2,"")</f>
        <v/>
      </c>
      <c r="B638" s="5">
        <f>IF(A638="","",TEXT(A638,"yyyy-mm-dd"))</f>
        <v/>
      </c>
      <c r="C638" s="5">
        <f>IF(A638="","",TEXT(A638,"ddd"))</f>
        <v/>
      </c>
      <c r="D638" s="5">
        <f>IF(A638="","",TEXT(A638,"yyyy-mm"))</f>
        <v/>
      </c>
      <c r="E638" s="5">
        <f>IF(A638="","",IF(A638&lt;Eingabe!$B$5,"",INT((A638-Eingabe!$B$5)/(Eingabe!$B$6*7))+1))</f>
        <v/>
      </c>
      <c r="F638" s="8">
        <f>IF(A638="","",SUMPRODUCT((Eingabe!$B$16:$B$165&lt;&gt;"")*(Eingabe!$J$16:$J$165)*--(A638&gt;=Eingabe!$G$16:$G$165)*--(A638&lt;=Eingabe!$H$16:$H$165)*--(WEEKDAY(A638,2)&lt;=5)))</f>
        <v/>
      </c>
      <c r="G638" s="8">
        <f>IF(A638="","",SUM($F$2:F638))</f>
        <v/>
      </c>
      <c r="H638" s="8">
        <f>IF(A638="","",Eingabe!$B$7-G638)</f>
        <v/>
      </c>
      <c r="I638" s="8">
        <f>IF(A638="","",Eingabe!$B$8-SUMIFS($F$2:F638,$D$2:D638,D638))</f>
        <v/>
      </c>
      <c r="J638" s="8">
        <f>IF(A638="","",IF(E638="",1E+99,IFERROR(VLOOKUP(E638,Eingabe!$D$5:$E$44,2,FALSE),Eingabe!$B$9)))</f>
        <v/>
      </c>
      <c r="K638" s="8">
        <f>IF(A638="","",IF(E638="",1E+99,J638-SUMIFS($F$2:F638,$E$2:E638,E638)))</f>
        <v/>
      </c>
      <c r="L638" s="5">
        <f>IF(A638="","",IF(OR(H638&lt;0,I638&lt;0,K638&lt;0),"UNMOEGLICH","OK"))</f>
        <v/>
      </c>
    </row>
    <row r="639">
      <c r="A639" s="7">
        <f>IF(ROW()-1&lt;=Eingabe!$B$4-Eingabe!$B$3+1,Eingabe!$B$3+ROW()-2,"")</f>
        <v/>
      </c>
      <c r="B639" s="5">
        <f>IF(A639="","",TEXT(A639,"yyyy-mm-dd"))</f>
        <v/>
      </c>
      <c r="C639" s="5">
        <f>IF(A639="","",TEXT(A639,"ddd"))</f>
        <v/>
      </c>
      <c r="D639" s="5">
        <f>IF(A639="","",TEXT(A639,"yyyy-mm"))</f>
        <v/>
      </c>
      <c r="E639" s="5">
        <f>IF(A639="","",IF(A639&lt;Eingabe!$B$5,"",INT((A639-Eingabe!$B$5)/(Eingabe!$B$6*7))+1))</f>
        <v/>
      </c>
      <c r="F639" s="8">
        <f>IF(A639="","",SUMPRODUCT((Eingabe!$B$16:$B$165&lt;&gt;"")*(Eingabe!$J$16:$J$165)*--(A639&gt;=Eingabe!$G$16:$G$165)*--(A639&lt;=Eingabe!$H$16:$H$165)*--(WEEKDAY(A639,2)&lt;=5)))</f>
        <v/>
      </c>
      <c r="G639" s="8">
        <f>IF(A639="","",SUM($F$2:F639))</f>
        <v/>
      </c>
      <c r="H639" s="8">
        <f>IF(A639="","",Eingabe!$B$7-G639)</f>
        <v/>
      </c>
      <c r="I639" s="8">
        <f>IF(A639="","",Eingabe!$B$8-SUMIFS($F$2:F639,$D$2:D639,D639))</f>
        <v/>
      </c>
      <c r="J639" s="8">
        <f>IF(A639="","",IF(E639="",1E+99,IFERROR(VLOOKUP(E639,Eingabe!$D$5:$E$44,2,FALSE),Eingabe!$B$9)))</f>
        <v/>
      </c>
      <c r="K639" s="8">
        <f>IF(A639="","",IF(E639="",1E+99,J639-SUMIFS($F$2:F639,$E$2:E639,E639)))</f>
        <v/>
      </c>
      <c r="L639" s="5">
        <f>IF(A639="","",IF(OR(H639&lt;0,I639&lt;0,K639&lt;0),"UNMOEGLICH","OK"))</f>
        <v/>
      </c>
    </row>
    <row r="640">
      <c r="A640" s="7">
        <f>IF(ROW()-1&lt;=Eingabe!$B$4-Eingabe!$B$3+1,Eingabe!$B$3+ROW()-2,"")</f>
        <v/>
      </c>
      <c r="B640" s="5">
        <f>IF(A640="","",TEXT(A640,"yyyy-mm-dd"))</f>
        <v/>
      </c>
      <c r="C640" s="5">
        <f>IF(A640="","",TEXT(A640,"ddd"))</f>
        <v/>
      </c>
      <c r="D640" s="5">
        <f>IF(A640="","",TEXT(A640,"yyyy-mm"))</f>
        <v/>
      </c>
      <c r="E640" s="5">
        <f>IF(A640="","",IF(A640&lt;Eingabe!$B$5,"",INT((A640-Eingabe!$B$5)/(Eingabe!$B$6*7))+1))</f>
        <v/>
      </c>
      <c r="F640" s="8">
        <f>IF(A640="","",SUMPRODUCT((Eingabe!$B$16:$B$165&lt;&gt;"")*(Eingabe!$J$16:$J$165)*--(A640&gt;=Eingabe!$G$16:$G$165)*--(A640&lt;=Eingabe!$H$16:$H$165)*--(WEEKDAY(A640,2)&lt;=5)))</f>
        <v/>
      </c>
      <c r="G640" s="8">
        <f>IF(A640="","",SUM($F$2:F640))</f>
        <v/>
      </c>
      <c r="H640" s="8">
        <f>IF(A640="","",Eingabe!$B$7-G640)</f>
        <v/>
      </c>
      <c r="I640" s="8">
        <f>IF(A640="","",Eingabe!$B$8-SUMIFS($F$2:F640,$D$2:D640,D640))</f>
        <v/>
      </c>
      <c r="J640" s="8">
        <f>IF(A640="","",IF(E640="",1E+99,IFERROR(VLOOKUP(E640,Eingabe!$D$5:$E$44,2,FALSE),Eingabe!$B$9)))</f>
        <v/>
      </c>
      <c r="K640" s="8">
        <f>IF(A640="","",IF(E640="",1E+99,J640-SUMIFS($F$2:F640,$E$2:E640,E640)))</f>
        <v/>
      </c>
      <c r="L640" s="5">
        <f>IF(A640="","",IF(OR(H640&lt;0,I640&lt;0,K640&lt;0),"UNMOEGLICH","OK"))</f>
        <v/>
      </c>
    </row>
    <row r="641">
      <c r="A641" s="7">
        <f>IF(ROW()-1&lt;=Eingabe!$B$4-Eingabe!$B$3+1,Eingabe!$B$3+ROW()-2,"")</f>
        <v/>
      </c>
      <c r="B641" s="5">
        <f>IF(A641="","",TEXT(A641,"yyyy-mm-dd"))</f>
        <v/>
      </c>
      <c r="C641" s="5">
        <f>IF(A641="","",TEXT(A641,"ddd"))</f>
        <v/>
      </c>
      <c r="D641" s="5">
        <f>IF(A641="","",TEXT(A641,"yyyy-mm"))</f>
        <v/>
      </c>
      <c r="E641" s="5">
        <f>IF(A641="","",IF(A641&lt;Eingabe!$B$5,"",INT((A641-Eingabe!$B$5)/(Eingabe!$B$6*7))+1))</f>
        <v/>
      </c>
      <c r="F641" s="8">
        <f>IF(A641="","",SUMPRODUCT((Eingabe!$B$16:$B$165&lt;&gt;"")*(Eingabe!$J$16:$J$165)*--(A641&gt;=Eingabe!$G$16:$G$165)*--(A641&lt;=Eingabe!$H$16:$H$165)*--(WEEKDAY(A641,2)&lt;=5)))</f>
        <v/>
      </c>
      <c r="G641" s="8">
        <f>IF(A641="","",SUM($F$2:F641))</f>
        <v/>
      </c>
      <c r="H641" s="8">
        <f>IF(A641="","",Eingabe!$B$7-G641)</f>
        <v/>
      </c>
      <c r="I641" s="8">
        <f>IF(A641="","",Eingabe!$B$8-SUMIFS($F$2:F641,$D$2:D641,D641))</f>
        <v/>
      </c>
      <c r="J641" s="8">
        <f>IF(A641="","",IF(E641="",1E+99,IFERROR(VLOOKUP(E641,Eingabe!$D$5:$E$44,2,FALSE),Eingabe!$B$9)))</f>
        <v/>
      </c>
      <c r="K641" s="8">
        <f>IF(A641="","",IF(E641="",1E+99,J641-SUMIFS($F$2:F641,$E$2:E641,E641)))</f>
        <v/>
      </c>
      <c r="L641" s="5">
        <f>IF(A641="","",IF(OR(H641&lt;0,I641&lt;0,K641&lt;0),"UNMOEGLICH","OK"))</f>
        <v/>
      </c>
    </row>
    <row r="642">
      <c r="A642" s="7">
        <f>IF(ROW()-1&lt;=Eingabe!$B$4-Eingabe!$B$3+1,Eingabe!$B$3+ROW()-2,"")</f>
        <v/>
      </c>
      <c r="B642" s="5">
        <f>IF(A642="","",TEXT(A642,"yyyy-mm-dd"))</f>
        <v/>
      </c>
      <c r="C642" s="5">
        <f>IF(A642="","",TEXT(A642,"ddd"))</f>
        <v/>
      </c>
      <c r="D642" s="5">
        <f>IF(A642="","",TEXT(A642,"yyyy-mm"))</f>
        <v/>
      </c>
      <c r="E642" s="5">
        <f>IF(A642="","",IF(A642&lt;Eingabe!$B$5,"",INT((A642-Eingabe!$B$5)/(Eingabe!$B$6*7))+1))</f>
        <v/>
      </c>
      <c r="F642" s="8">
        <f>IF(A642="","",SUMPRODUCT((Eingabe!$B$16:$B$165&lt;&gt;"")*(Eingabe!$J$16:$J$165)*--(A642&gt;=Eingabe!$G$16:$G$165)*--(A642&lt;=Eingabe!$H$16:$H$165)*--(WEEKDAY(A642,2)&lt;=5)))</f>
        <v/>
      </c>
      <c r="G642" s="8">
        <f>IF(A642="","",SUM($F$2:F642))</f>
        <v/>
      </c>
      <c r="H642" s="8">
        <f>IF(A642="","",Eingabe!$B$7-G642)</f>
        <v/>
      </c>
      <c r="I642" s="8">
        <f>IF(A642="","",Eingabe!$B$8-SUMIFS($F$2:F642,$D$2:D642,D642))</f>
        <v/>
      </c>
      <c r="J642" s="8">
        <f>IF(A642="","",IF(E642="",1E+99,IFERROR(VLOOKUP(E642,Eingabe!$D$5:$E$44,2,FALSE),Eingabe!$B$9)))</f>
        <v/>
      </c>
      <c r="K642" s="8">
        <f>IF(A642="","",IF(E642="",1E+99,J642-SUMIFS($F$2:F642,$E$2:E642,E642)))</f>
        <v/>
      </c>
      <c r="L642" s="5">
        <f>IF(A642="","",IF(OR(H642&lt;0,I642&lt;0,K642&lt;0),"UNMOEGLICH","OK"))</f>
        <v/>
      </c>
    </row>
    <row r="643">
      <c r="A643" s="7">
        <f>IF(ROW()-1&lt;=Eingabe!$B$4-Eingabe!$B$3+1,Eingabe!$B$3+ROW()-2,"")</f>
        <v/>
      </c>
      <c r="B643" s="5">
        <f>IF(A643="","",TEXT(A643,"yyyy-mm-dd"))</f>
        <v/>
      </c>
      <c r="C643" s="5">
        <f>IF(A643="","",TEXT(A643,"ddd"))</f>
        <v/>
      </c>
      <c r="D643" s="5">
        <f>IF(A643="","",TEXT(A643,"yyyy-mm"))</f>
        <v/>
      </c>
      <c r="E643" s="5">
        <f>IF(A643="","",IF(A643&lt;Eingabe!$B$5,"",INT((A643-Eingabe!$B$5)/(Eingabe!$B$6*7))+1))</f>
        <v/>
      </c>
      <c r="F643" s="8">
        <f>IF(A643="","",SUMPRODUCT((Eingabe!$B$16:$B$165&lt;&gt;"")*(Eingabe!$J$16:$J$165)*--(A643&gt;=Eingabe!$G$16:$G$165)*--(A643&lt;=Eingabe!$H$16:$H$165)*--(WEEKDAY(A643,2)&lt;=5)))</f>
        <v/>
      </c>
      <c r="G643" s="8">
        <f>IF(A643="","",SUM($F$2:F643))</f>
        <v/>
      </c>
      <c r="H643" s="8">
        <f>IF(A643="","",Eingabe!$B$7-G643)</f>
        <v/>
      </c>
      <c r="I643" s="8">
        <f>IF(A643="","",Eingabe!$B$8-SUMIFS($F$2:F643,$D$2:D643,D643))</f>
        <v/>
      </c>
      <c r="J643" s="8">
        <f>IF(A643="","",IF(E643="",1E+99,IFERROR(VLOOKUP(E643,Eingabe!$D$5:$E$44,2,FALSE),Eingabe!$B$9)))</f>
        <v/>
      </c>
      <c r="K643" s="8">
        <f>IF(A643="","",IF(E643="",1E+99,J643-SUMIFS($F$2:F643,$E$2:E643,E643)))</f>
        <v/>
      </c>
      <c r="L643" s="5">
        <f>IF(A643="","",IF(OR(H643&lt;0,I643&lt;0,K643&lt;0),"UNMOEGLICH","OK"))</f>
        <v/>
      </c>
    </row>
    <row r="644">
      <c r="A644" s="7">
        <f>IF(ROW()-1&lt;=Eingabe!$B$4-Eingabe!$B$3+1,Eingabe!$B$3+ROW()-2,"")</f>
        <v/>
      </c>
      <c r="B644" s="5">
        <f>IF(A644="","",TEXT(A644,"yyyy-mm-dd"))</f>
        <v/>
      </c>
      <c r="C644" s="5">
        <f>IF(A644="","",TEXT(A644,"ddd"))</f>
        <v/>
      </c>
      <c r="D644" s="5">
        <f>IF(A644="","",TEXT(A644,"yyyy-mm"))</f>
        <v/>
      </c>
      <c r="E644" s="5">
        <f>IF(A644="","",IF(A644&lt;Eingabe!$B$5,"",INT((A644-Eingabe!$B$5)/(Eingabe!$B$6*7))+1))</f>
        <v/>
      </c>
      <c r="F644" s="8">
        <f>IF(A644="","",SUMPRODUCT((Eingabe!$B$16:$B$165&lt;&gt;"")*(Eingabe!$J$16:$J$165)*--(A644&gt;=Eingabe!$G$16:$G$165)*--(A644&lt;=Eingabe!$H$16:$H$165)*--(WEEKDAY(A644,2)&lt;=5)))</f>
        <v/>
      </c>
      <c r="G644" s="8">
        <f>IF(A644="","",SUM($F$2:F644))</f>
        <v/>
      </c>
      <c r="H644" s="8">
        <f>IF(A644="","",Eingabe!$B$7-G644)</f>
        <v/>
      </c>
      <c r="I644" s="8">
        <f>IF(A644="","",Eingabe!$B$8-SUMIFS($F$2:F644,$D$2:D644,D644))</f>
        <v/>
      </c>
      <c r="J644" s="8">
        <f>IF(A644="","",IF(E644="",1E+99,IFERROR(VLOOKUP(E644,Eingabe!$D$5:$E$44,2,FALSE),Eingabe!$B$9)))</f>
        <v/>
      </c>
      <c r="K644" s="8">
        <f>IF(A644="","",IF(E644="",1E+99,J644-SUMIFS($F$2:F644,$E$2:E644,E644)))</f>
        <v/>
      </c>
      <c r="L644" s="5">
        <f>IF(A644="","",IF(OR(H644&lt;0,I644&lt;0,K644&lt;0),"UNMOEGLICH","OK"))</f>
        <v/>
      </c>
    </row>
    <row r="645">
      <c r="A645" s="7">
        <f>IF(ROW()-1&lt;=Eingabe!$B$4-Eingabe!$B$3+1,Eingabe!$B$3+ROW()-2,"")</f>
        <v/>
      </c>
      <c r="B645" s="5">
        <f>IF(A645="","",TEXT(A645,"yyyy-mm-dd"))</f>
        <v/>
      </c>
      <c r="C645" s="5">
        <f>IF(A645="","",TEXT(A645,"ddd"))</f>
        <v/>
      </c>
      <c r="D645" s="5">
        <f>IF(A645="","",TEXT(A645,"yyyy-mm"))</f>
        <v/>
      </c>
      <c r="E645" s="5">
        <f>IF(A645="","",IF(A645&lt;Eingabe!$B$5,"",INT((A645-Eingabe!$B$5)/(Eingabe!$B$6*7))+1))</f>
        <v/>
      </c>
      <c r="F645" s="8">
        <f>IF(A645="","",SUMPRODUCT((Eingabe!$B$16:$B$165&lt;&gt;"")*(Eingabe!$J$16:$J$165)*--(A645&gt;=Eingabe!$G$16:$G$165)*--(A645&lt;=Eingabe!$H$16:$H$165)*--(WEEKDAY(A645,2)&lt;=5)))</f>
        <v/>
      </c>
      <c r="G645" s="8">
        <f>IF(A645="","",SUM($F$2:F645))</f>
        <v/>
      </c>
      <c r="H645" s="8">
        <f>IF(A645="","",Eingabe!$B$7-G645)</f>
        <v/>
      </c>
      <c r="I645" s="8">
        <f>IF(A645="","",Eingabe!$B$8-SUMIFS($F$2:F645,$D$2:D645,D645))</f>
        <v/>
      </c>
      <c r="J645" s="8">
        <f>IF(A645="","",IF(E645="",1E+99,IFERROR(VLOOKUP(E645,Eingabe!$D$5:$E$44,2,FALSE),Eingabe!$B$9)))</f>
        <v/>
      </c>
      <c r="K645" s="8">
        <f>IF(A645="","",IF(E645="",1E+99,J645-SUMIFS($F$2:F645,$E$2:E645,E645)))</f>
        <v/>
      </c>
      <c r="L645" s="5">
        <f>IF(A645="","",IF(OR(H645&lt;0,I645&lt;0,K645&lt;0),"UNMOEGLICH","OK"))</f>
        <v/>
      </c>
    </row>
    <row r="646">
      <c r="A646" s="7">
        <f>IF(ROW()-1&lt;=Eingabe!$B$4-Eingabe!$B$3+1,Eingabe!$B$3+ROW()-2,"")</f>
        <v/>
      </c>
      <c r="B646" s="5">
        <f>IF(A646="","",TEXT(A646,"yyyy-mm-dd"))</f>
        <v/>
      </c>
      <c r="C646" s="5">
        <f>IF(A646="","",TEXT(A646,"ddd"))</f>
        <v/>
      </c>
      <c r="D646" s="5">
        <f>IF(A646="","",TEXT(A646,"yyyy-mm"))</f>
        <v/>
      </c>
      <c r="E646" s="5">
        <f>IF(A646="","",IF(A646&lt;Eingabe!$B$5,"",INT((A646-Eingabe!$B$5)/(Eingabe!$B$6*7))+1))</f>
        <v/>
      </c>
      <c r="F646" s="8">
        <f>IF(A646="","",SUMPRODUCT((Eingabe!$B$16:$B$165&lt;&gt;"")*(Eingabe!$J$16:$J$165)*--(A646&gt;=Eingabe!$G$16:$G$165)*--(A646&lt;=Eingabe!$H$16:$H$165)*--(WEEKDAY(A646,2)&lt;=5)))</f>
        <v/>
      </c>
      <c r="G646" s="8">
        <f>IF(A646="","",SUM($F$2:F646))</f>
        <v/>
      </c>
      <c r="H646" s="8">
        <f>IF(A646="","",Eingabe!$B$7-G646)</f>
        <v/>
      </c>
      <c r="I646" s="8">
        <f>IF(A646="","",Eingabe!$B$8-SUMIFS($F$2:F646,$D$2:D646,D646))</f>
        <v/>
      </c>
      <c r="J646" s="8">
        <f>IF(A646="","",IF(E646="",1E+99,IFERROR(VLOOKUP(E646,Eingabe!$D$5:$E$44,2,FALSE),Eingabe!$B$9)))</f>
        <v/>
      </c>
      <c r="K646" s="8">
        <f>IF(A646="","",IF(E646="",1E+99,J646-SUMIFS($F$2:F646,$E$2:E646,E646)))</f>
        <v/>
      </c>
      <c r="L646" s="5">
        <f>IF(A646="","",IF(OR(H646&lt;0,I646&lt;0,K646&lt;0),"UNMOEGLICH","OK"))</f>
        <v/>
      </c>
    </row>
    <row r="647">
      <c r="A647" s="7">
        <f>IF(ROW()-1&lt;=Eingabe!$B$4-Eingabe!$B$3+1,Eingabe!$B$3+ROW()-2,"")</f>
        <v/>
      </c>
      <c r="B647" s="5">
        <f>IF(A647="","",TEXT(A647,"yyyy-mm-dd"))</f>
        <v/>
      </c>
      <c r="C647" s="5">
        <f>IF(A647="","",TEXT(A647,"ddd"))</f>
        <v/>
      </c>
      <c r="D647" s="5">
        <f>IF(A647="","",TEXT(A647,"yyyy-mm"))</f>
        <v/>
      </c>
      <c r="E647" s="5">
        <f>IF(A647="","",IF(A647&lt;Eingabe!$B$5,"",INT((A647-Eingabe!$B$5)/(Eingabe!$B$6*7))+1))</f>
        <v/>
      </c>
      <c r="F647" s="8">
        <f>IF(A647="","",SUMPRODUCT((Eingabe!$B$16:$B$165&lt;&gt;"")*(Eingabe!$J$16:$J$165)*--(A647&gt;=Eingabe!$G$16:$G$165)*--(A647&lt;=Eingabe!$H$16:$H$165)*--(WEEKDAY(A647,2)&lt;=5)))</f>
        <v/>
      </c>
      <c r="G647" s="8">
        <f>IF(A647="","",SUM($F$2:F647))</f>
        <v/>
      </c>
      <c r="H647" s="8">
        <f>IF(A647="","",Eingabe!$B$7-G647)</f>
        <v/>
      </c>
      <c r="I647" s="8">
        <f>IF(A647="","",Eingabe!$B$8-SUMIFS($F$2:F647,$D$2:D647,D647))</f>
        <v/>
      </c>
      <c r="J647" s="8">
        <f>IF(A647="","",IF(E647="",1E+99,IFERROR(VLOOKUP(E647,Eingabe!$D$5:$E$44,2,FALSE),Eingabe!$B$9)))</f>
        <v/>
      </c>
      <c r="K647" s="8">
        <f>IF(A647="","",IF(E647="",1E+99,J647-SUMIFS($F$2:F647,$E$2:E647,E647)))</f>
        <v/>
      </c>
      <c r="L647" s="5">
        <f>IF(A647="","",IF(OR(H647&lt;0,I647&lt;0,K647&lt;0),"UNMOEGLICH","OK"))</f>
        <v/>
      </c>
    </row>
    <row r="648">
      <c r="A648" s="7">
        <f>IF(ROW()-1&lt;=Eingabe!$B$4-Eingabe!$B$3+1,Eingabe!$B$3+ROW()-2,"")</f>
        <v/>
      </c>
      <c r="B648" s="5">
        <f>IF(A648="","",TEXT(A648,"yyyy-mm-dd"))</f>
        <v/>
      </c>
      <c r="C648" s="5">
        <f>IF(A648="","",TEXT(A648,"ddd"))</f>
        <v/>
      </c>
      <c r="D648" s="5">
        <f>IF(A648="","",TEXT(A648,"yyyy-mm"))</f>
        <v/>
      </c>
      <c r="E648" s="5">
        <f>IF(A648="","",IF(A648&lt;Eingabe!$B$5,"",INT((A648-Eingabe!$B$5)/(Eingabe!$B$6*7))+1))</f>
        <v/>
      </c>
      <c r="F648" s="8">
        <f>IF(A648="","",SUMPRODUCT((Eingabe!$B$16:$B$165&lt;&gt;"")*(Eingabe!$J$16:$J$165)*--(A648&gt;=Eingabe!$G$16:$G$165)*--(A648&lt;=Eingabe!$H$16:$H$165)*--(WEEKDAY(A648,2)&lt;=5)))</f>
        <v/>
      </c>
      <c r="G648" s="8">
        <f>IF(A648="","",SUM($F$2:F648))</f>
        <v/>
      </c>
      <c r="H648" s="8">
        <f>IF(A648="","",Eingabe!$B$7-G648)</f>
        <v/>
      </c>
      <c r="I648" s="8">
        <f>IF(A648="","",Eingabe!$B$8-SUMIFS($F$2:F648,$D$2:D648,D648))</f>
        <v/>
      </c>
      <c r="J648" s="8">
        <f>IF(A648="","",IF(E648="",1E+99,IFERROR(VLOOKUP(E648,Eingabe!$D$5:$E$44,2,FALSE),Eingabe!$B$9)))</f>
        <v/>
      </c>
      <c r="K648" s="8">
        <f>IF(A648="","",IF(E648="",1E+99,J648-SUMIFS($F$2:F648,$E$2:E648,E648)))</f>
        <v/>
      </c>
      <c r="L648" s="5">
        <f>IF(A648="","",IF(OR(H648&lt;0,I648&lt;0,K648&lt;0),"UNMOEGLICH","OK"))</f>
        <v/>
      </c>
    </row>
    <row r="649">
      <c r="A649" s="7">
        <f>IF(ROW()-1&lt;=Eingabe!$B$4-Eingabe!$B$3+1,Eingabe!$B$3+ROW()-2,"")</f>
        <v/>
      </c>
      <c r="B649" s="5">
        <f>IF(A649="","",TEXT(A649,"yyyy-mm-dd"))</f>
        <v/>
      </c>
      <c r="C649" s="5">
        <f>IF(A649="","",TEXT(A649,"ddd"))</f>
        <v/>
      </c>
      <c r="D649" s="5">
        <f>IF(A649="","",TEXT(A649,"yyyy-mm"))</f>
        <v/>
      </c>
      <c r="E649" s="5">
        <f>IF(A649="","",IF(A649&lt;Eingabe!$B$5,"",INT((A649-Eingabe!$B$5)/(Eingabe!$B$6*7))+1))</f>
        <v/>
      </c>
      <c r="F649" s="8">
        <f>IF(A649="","",SUMPRODUCT((Eingabe!$B$16:$B$165&lt;&gt;"")*(Eingabe!$J$16:$J$165)*--(A649&gt;=Eingabe!$G$16:$G$165)*--(A649&lt;=Eingabe!$H$16:$H$165)*--(WEEKDAY(A649,2)&lt;=5)))</f>
        <v/>
      </c>
      <c r="G649" s="8">
        <f>IF(A649="","",SUM($F$2:F649))</f>
        <v/>
      </c>
      <c r="H649" s="8">
        <f>IF(A649="","",Eingabe!$B$7-G649)</f>
        <v/>
      </c>
      <c r="I649" s="8">
        <f>IF(A649="","",Eingabe!$B$8-SUMIFS($F$2:F649,$D$2:D649,D649))</f>
        <v/>
      </c>
      <c r="J649" s="8">
        <f>IF(A649="","",IF(E649="",1E+99,IFERROR(VLOOKUP(E649,Eingabe!$D$5:$E$44,2,FALSE),Eingabe!$B$9)))</f>
        <v/>
      </c>
      <c r="K649" s="8">
        <f>IF(A649="","",IF(E649="",1E+99,J649-SUMIFS($F$2:F649,$E$2:E649,E649)))</f>
        <v/>
      </c>
      <c r="L649" s="5">
        <f>IF(A649="","",IF(OR(H649&lt;0,I649&lt;0,K649&lt;0),"UNMOEGLICH","OK"))</f>
        <v/>
      </c>
    </row>
    <row r="650">
      <c r="A650" s="7">
        <f>IF(ROW()-1&lt;=Eingabe!$B$4-Eingabe!$B$3+1,Eingabe!$B$3+ROW()-2,"")</f>
        <v/>
      </c>
      <c r="B650" s="5">
        <f>IF(A650="","",TEXT(A650,"yyyy-mm-dd"))</f>
        <v/>
      </c>
      <c r="C650" s="5">
        <f>IF(A650="","",TEXT(A650,"ddd"))</f>
        <v/>
      </c>
      <c r="D650" s="5">
        <f>IF(A650="","",TEXT(A650,"yyyy-mm"))</f>
        <v/>
      </c>
      <c r="E650" s="5">
        <f>IF(A650="","",IF(A650&lt;Eingabe!$B$5,"",INT((A650-Eingabe!$B$5)/(Eingabe!$B$6*7))+1))</f>
        <v/>
      </c>
      <c r="F650" s="8">
        <f>IF(A650="","",SUMPRODUCT((Eingabe!$B$16:$B$165&lt;&gt;"")*(Eingabe!$J$16:$J$165)*--(A650&gt;=Eingabe!$G$16:$G$165)*--(A650&lt;=Eingabe!$H$16:$H$165)*--(WEEKDAY(A650,2)&lt;=5)))</f>
        <v/>
      </c>
      <c r="G650" s="8">
        <f>IF(A650="","",SUM($F$2:F650))</f>
        <v/>
      </c>
      <c r="H650" s="8">
        <f>IF(A650="","",Eingabe!$B$7-G650)</f>
        <v/>
      </c>
      <c r="I650" s="8">
        <f>IF(A650="","",Eingabe!$B$8-SUMIFS($F$2:F650,$D$2:D650,D650))</f>
        <v/>
      </c>
      <c r="J650" s="8">
        <f>IF(A650="","",IF(E650="",1E+99,IFERROR(VLOOKUP(E650,Eingabe!$D$5:$E$44,2,FALSE),Eingabe!$B$9)))</f>
        <v/>
      </c>
      <c r="K650" s="8">
        <f>IF(A650="","",IF(E650="",1E+99,J650-SUMIFS($F$2:F650,$E$2:E650,E650)))</f>
        <v/>
      </c>
      <c r="L650" s="5">
        <f>IF(A650="","",IF(OR(H650&lt;0,I650&lt;0,K650&lt;0),"UNMOEGLICH","OK"))</f>
        <v/>
      </c>
    </row>
    <row r="651">
      <c r="A651" s="7">
        <f>IF(ROW()-1&lt;=Eingabe!$B$4-Eingabe!$B$3+1,Eingabe!$B$3+ROW()-2,"")</f>
        <v/>
      </c>
      <c r="B651" s="5">
        <f>IF(A651="","",TEXT(A651,"yyyy-mm-dd"))</f>
        <v/>
      </c>
      <c r="C651" s="5">
        <f>IF(A651="","",TEXT(A651,"ddd"))</f>
        <v/>
      </c>
      <c r="D651" s="5">
        <f>IF(A651="","",TEXT(A651,"yyyy-mm"))</f>
        <v/>
      </c>
      <c r="E651" s="5">
        <f>IF(A651="","",IF(A651&lt;Eingabe!$B$5,"",INT((A651-Eingabe!$B$5)/(Eingabe!$B$6*7))+1))</f>
        <v/>
      </c>
      <c r="F651" s="8">
        <f>IF(A651="","",SUMPRODUCT((Eingabe!$B$16:$B$165&lt;&gt;"")*(Eingabe!$J$16:$J$165)*--(A651&gt;=Eingabe!$G$16:$G$165)*--(A651&lt;=Eingabe!$H$16:$H$165)*--(WEEKDAY(A651,2)&lt;=5)))</f>
        <v/>
      </c>
      <c r="G651" s="8">
        <f>IF(A651="","",SUM($F$2:F651))</f>
        <v/>
      </c>
      <c r="H651" s="8">
        <f>IF(A651="","",Eingabe!$B$7-G651)</f>
        <v/>
      </c>
      <c r="I651" s="8">
        <f>IF(A651="","",Eingabe!$B$8-SUMIFS($F$2:F651,$D$2:D651,D651))</f>
        <v/>
      </c>
      <c r="J651" s="8">
        <f>IF(A651="","",IF(E651="",1E+99,IFERROR(VLOOKUP(E651,Eingabe!$D$5:$E$44,2,FALSE),Eingabe!$B$9)))</f>
        <v/>
      </c>
      <c r="K651" s="8">
        <f>IF(A651="","",IF(E651="",1E+99,J651-SUMIFS($F$2:F651,$E$2:E651,E651)))</f>
        <v/>
      </c>
      <c r="L651" s="5">
        <f>IF(A651="","",IF(OR(H651&lt;0,I651&lt;0,K651&lt;0),"UNMOEGLICH","OK"))</f>
        <v/>
      </c>
    </row>
    <row r="652">
      <c r="A652" s="7">
        <f>IF(ROW()-1&lt;=Eingabe!$B$4-Eingabe!$B$3+1,Eingabe!$B$3+ROW()-2,"")</f>
        <v/>
      </c>
      <c r="B652" s="5">
        <f>IF(A652="","",TEXT(A652,"yyyy-mm-dd"))</f>
        <v/>
      </c>
      <c r="C652" s="5">
        <f>IF(A652="","",TEXT(A652,"ddd"))</f>
        <v/>
      </c>
      <c r="D652" s="5">
        <f>IF(A652="","",TEXT(A652,"yyyy-mm"))</f>
        <v/>
      </c>
      <c r="E652" s="5">
        <f>IF(A652="","",IF(A652&lt;Eingabe!$B$5,"",INT((A652-Eingabe!$B$5)/(Eingabe!$B$6*7))+1))</f>
        <v/>
      </c>
      <c r="F652" s="8">
        <f>IF(A652="","",SUMPRODUCT((Eingabe!$B$16:$B$165&lt;&gt;"")*(Eingabe!$J$16:$J$165)*--(A652&gt;=Eingabe!$G$16:$G$165)*--(A652&lt;=Eingabe!$H$16:$H$165)*--(WEEKDAY(A652,2)&lt;=5)))</f>
        <v/>
      </c>
      <c r="G652" s="8">
        <f>IF(A652="","",SUM($F$2:F652))</f>
        <v/>
      </c>
      <c r="H652" s="8">
        <f>IF(A652="","",Eingabe!$B$7-G652)</f>
        <v/>
      </c>
      <c r="I652" s="8">
        <f>IF(A652="","",Eingabe!$B$8-SUMIFS($F$2:F652,$D$2:D652,D652))</f>
        <v/>
      </c>
      <c r="J652" s="8">
        <f>IF(A652="","",IF(E652="",1E+99,IFERROR(VLOOKUP(E652,Eingabe!$D$5:$E$44,2,FALSE),Eingabe!$B$9)))</f>
        <v/>
      </c>
      <c r="K652" s="8">
        <f>IF(A652="","",IF(E652="",1E+99,J652-SUMIFS($F$2:F652,$E$2:E652,E652)))</f>
        <v/>
      </c>
      <c r="L652" s="5">
        <f>IF(A652="","",IF(OR(H652&lt;0,I652&lt;0,K652&lt;0),"UNMOEGLICH","OK"))</f>
        <v/>
      </c>
    </row>
    <row r="653">
      <c r="A653" s="7">
        <f>IF(ROW()-1&lt;=Eingabe!$B$4-Eingabe!$B$3+1,Eingabe!$B$3+ROW()-2,"")</f>
        <v/>
      </c>
      <c r="B653" s="5">
        <f>IF(A653="","",TEXT(A653,"yyyy-mm-dd"))</f>
        <v/>
      </c>
      <c r="C653" s="5">
        <f>IF(A653="","",TEXT(A653,"ddd"))</f>
        <v/>
      </c>
      <c r="D653" s="5">
        <f>IF(A653="","",TEXT(A653,"yyyy-mm"))</f>
        <v/>
      </c>
      <c r="E653" s="5">
        <f>IF(A653="","",IF(A653&lt;Eingabe!$B$5,"",INT((A653-Eingabe!$B$5)/(Eingabe!$B$6*7))+1))</f>
        <v/>
      </c>
      <c r="F653" s="8">
        <f>IF(A653="","",SUMPRODUCT((Eingabe!$B$16:$B$165&lt;&gt;"")*(Eingabe!$J$16:$J$165)*--(A653&gt;=Eingabe!$G$16:$G$165)*--(A653&lt;=Eingabe!$H$16:$H$165)*--(WEEKDAY(A653,2)&lt;=5)))</f>
        <v/>
      </c>
      <c r="G653" s="8">
        <f>IF(A653="","",SUM($F$2:F653))</f>
        <v/>
      </c>
      <c r="H653" s="8">
        <f>IF(A653="","",Eingabe!$B$7-G653)</f>
        <v/>
      </c>
      <c r="I653" s="8">
        <f>IF(A653="","",Eingabe!$B$8-SUMIFS($F$2:F653,$D$2:D653,D653))</f>
        <v/>
      </c>
      <c r="J653" s="8">
        <f>IF(A653="","",IF(E653="",1E+99,IFERROR(VLOOKUP(E653,Eingabe!$D$5:$E$44,2,FALSE),Eingabe!$B$9)))</f>
        <v/>
      </c>
      <c r="K653" s="8">
        <f>IF(A653="","",IF(E653="",1E+99,J653-SUMIFS($F$2:F653,$E$2:E653,E653)))</f>
        <v/>
      </c>
      <c r="L653" s="5">
        <f>IF(A653="","",IF(OR(H653&lt;0,I653&lt;0,K653&lt;0),"UNMOEGLICH","OK"))</f>
        <v/>
      </c>
    </row>
    <row r="654">
      <c r="A654" s="7">
        <f>IF(ROW()-1&lt;=Eingabe!$B$4-Eingabe!$B$3+1,Eingabe!$B$3+ROW()-2,"")</f>
        <v/>
      </c>
      <c r="B654" s="5">
        <f>IF(A654="","",TEXT(A654,"yyyy-mm-dd"))</f>
        <v/>
      </c>
      <c r="C654" s="5">
        <f>IF(A654="","",TEXT(A654,"ddd"))</f>
        <v/>
      </c>
      <c r="D654" s="5">
        <f>IF(A654="","",TEXT(A654,"yyyy-mm"))</f>
        <v/>
      </c>
      <c r="E654" s="5">
        <f>IF(A654="","",IF(A654&lt;Eingabe!$B$5,"",INT((A654-Eingabe!$B$5)/(Eingabe!$B$6*7))+1))</f>
        <v/>
      </c>
      <c r="F654" s="8">
        <f>IF(A654="","",SUMPRODUCT((Eingabe!$B$16:$B$165&lt;&gt;"")*(Eingabe!$J$16:$J$165)*--(A654&gt;=Eingabe!$G$16:$G$165)*--(A654&lt;=Eingabe!$H$16:$H$165)*--(WEEKDAY(A654,2)&lt;=5)))</f>
        <v/>
      </c>
      <c r="G654" s="8">
        <f>IF(A654="","",SUM($F$2:F654))</f>
        <v/>
      </c>
      <c r="H654" s="8">
        <f>IF(A654="","",Eingabe!$B$7-G654)</f>
        <v/>
      </c>
      <c r="I654" s="8">
        <f>IF(A654="","",Eingabe!$B$8-SUMIFS($F$2:F654,$D$2:D654,D654))</f>
        <v/>
      </c>
      <c r="J654" s="8">
        <f>IF(A654="","",IF(E654="",1E+99,IFERROR(VLOOKUP(E654,Eingabe!$D$5:$E$44,2,FALSE),Eingabe!$B$9)))</f>
        <v/>
      </c>
      <c r="K654" s="8">
        <f>IF(A654="","",IF(E654="",1E+99,J654-SUMIFS($F$2:F654,$E$2:E654,E654)))</f>
        <v/>
      </c>
      <c r="L654" s="5">
        <f>IF(A654="","",IF(OR(H654&lt;0,I654&lt;0,K654&lt;0),"UNMOEGLICH","OK"))</f>
        <v/>
      </c>
    </row>
    <row r="655">
      <c r="A655" s="7">
        <f>IF(ROW()-1&lt;=Eingabe!$B$4-Eingabe!$B$3+1,Eingabe!$B$3+ROW()-2,"")</f>
        <v/>
      </c>
      <c r="B655" s="5">
        <f>IF(A655="","",TEXT(A655,"yyyy-mm-dd"))</f>
        <v/>
      </c>
      <c r="C655" s="5">
        <f>IF(A655="","",TEXT(A655,"ddd"))</f>
        <v/>
      </c>
      <c r="D655" s="5">
        <f>IF(A655="","",TEXT(A655,"yyyy-mm"))</f>
        <v/>
      </c>
      <c r="E655" s="5">
        <f>IF(A655="","",IF(A655&lt;Eingabe!$B$5,"",INT((A655-Eingabe!$B$5)/(Eingabe!$B$6*7))+1))</f>
        <v/>
      </c>
      <c r="F655" s="8">
        <f>IF(A655="","",SUMPRODUCT((Eingabe!$B$16:$B$165&lt;&gt;"")*(Eingabe!$J$16:$J$165)*--(A655&gt;=Eingabe!$G$16:$G$165)*--(A655&lt;=Eingabe!$H$16:$H$165)*--(WEEKDAY(A655,2)&lt;=5)))</f>
        <v/>
      </c>
      <c r="G655" s="8">
        <f>IF(A655="","",SUM($F$2:F655))</f>
        <v/>
      </c>
      <c r="H655" s="8">
        <f>IF(A655="","",Eingabe!$B$7-G655)</f>
        <v/>
      </c>
      <c r="I655" s="8">
        <f>IF(A655="","",Eingabe!$B$8-SUMIFS($F$2:F655,$D$2:D655,D655))</f>
        <v/>
      </c>
      <c r="J655" s="8">
        <f>IF(A655="","",IF(E655="",1E+99,IFERROR(VLOOKUP(E655,Eingabe!$D$5:$E$44,2,FALSE),Eingabe!$B$9)))</f>
        <v/>
      </c>
      <c r="K655" s="8">
        <f>IF(A655="","",IF(E655="",1E+99,J655-SUMIFS($F$2:F655,$E$2:E655,E655)))</f>
        <v/>
      </c>
      <c r="L655" s="5">
        <f>IF(A655="","",IF(OR(H655&lt;0,I655&lt;0,K655&lt;0),"UNMOEGLICH","OK"))</f>
        <v/>
      </c>
    </row>
    <row r="656">
      <c r="A656" s="7">
        <f>IF(ROW()-1&lt;=Eingabe!$B$4-Eingabe!$B$3+1,Eingabe!$B$3+ROW()-2,"")</f>
        <v/>
      </c>
      <c r="B656" s="5">
        <f>IF(A656="","",TEXT(A656,"yyyy-mm-dd"))</f>
        <v/>
      </c>
      <c r="C656" s="5">
        <f>IF(A656="","",TEXT(A656,"ddd"))</f>
        <v/>
      </c>
      <c r="D656" s="5">
        <f>IF(A656="","",TEXT(A656,"yyyy-mm"))</f>
        <v/>
      </c>
      <c r="E656" s="5">
        <f>IF(A656="","",IF(A656&lt;Eingabe!$B$5,"",INT((A656-Eingabe!$B$5)/(Eingabe!$B$6*7))+1))</f>
        <v/>
      </c>
      <c r="F656" s="8">
        <f>IF(A656="","",SUMPRODUCT((Eingabe!$B$16:$B$165&lt;&gt;"")*(Eingabe!$J$16:$J$165)*--(A656&gt;=Eingabe!$G$16:$G$165)*--(A656&lt;=Eingabe!$H$16:$H$165)*--(WEEKDAY(A656,2)&lt;=5)))</f>
        <v/>
      </c>
      <c r="G656" s="8">
        <f>IF(A656="","",SUM($F$2:F656))</f>
        <v/>
      </c>
      <c r="H656" s="8">
        <f>IF(A656="","",Eingabe!$B$7-G656)</f>
        <v/>
      </c>
      <c r="I656" s="8">
        <f>IF(A656="","",Eingabe!$B$8-SUMIFS($F$2:F656,$D$2:D656,D656))</f>
        <v/>
      </c>
      <c r="J656" s="8">
        <f>IF(A656="","",IF(E656="",1E+99,IFERROR(VLOOKUP(E656,Eingabe!$D$5:$E$44,2,FALSE),Eingabe!$B$9)))</f>
        <v/>
      </c>
      <c r="K656" s="8">
        <f>IF(A656="","",IF(E656="",1E+99,J656-SUMIFS($F$2:F656,$E$2:E656,E656)))</f>
        <v/>
      </c>
      <c r="L656" s="5">
        <f>IF(A656="","",IF(OR(H656&lt;0,I656&lt;0,K656&lt;0),"UNMOEGLICH","OK"))</f>
        <v/>
      </c>
    </row>
    <row r="657">
      <c r="A657" s="7">
        <f>IF(ROW()-1&lt;=Eingabe!$B$4-Eingabe!$B$3+1,Eingabe!$B$3+ROW()-2,"")</f>
        <v/>
      </c>
      <c r="B657" s="5">
        <f>IF(A657="","",TEXT(A657,"yyyy-mm-dd"))</f>
        <v/>
      </c>
      <c r="C657" s="5">
        <f>IF(A657="","",TEXT(A657,"ddd"))</f>
        <v/>
      </c>
      <c r="D657" s="5">
        <f>IF(A657="","",TEXT(A657,"yyyy-mm"))</f>
        <v/>
      </c>
      <c r="E657" s="5">
        <f>IF(A657="","",IF(A657&lt;Eingabe!$B$5,"",INT((A657-Eingabe!$B$5)/(Eingabe!$B$6*7))+1))</f>
        <v/>
      </c>
      <c r="F657" s="8">
        <f>IF(A657="","",SUMPRODUCT((Eingabe!$B$16:$B$165&lt;&gt;"")*(Eingabe!$J$16:$J$165)*--(A657&gt;=Eingabe!$G$16:$G$165)*--(A657&lt;=Eingabe!$H$16:$H$165)*--(WEEKDAY(A657,2)&lt;=5)))</f>
        <v/>
      </c>
      <c r="G657" s="8">
        <f>IF(A657="","",SUM($F$2:F657))</f>
        <v/>
      </c>
      <c r="H657" s="8">
        <f>IF(A657="","",Eingabe!$B$7-G657)</f>
        <v/>
      </c>
      <c r="I657" s="8">
        <f>IF(A657="","",Eingabe!$B$8-SUMIFS($F$2:F657,$D$2:D657,D657))</f>
        <v/>
      </c>
      <c r="J657" s="8">
        <f>IF(A657="","",IF(E657="",1E+99,IFERROR(VLOOKUP(E657,Eingabe!$D$5:$E$44,2,FALSE),Eingabe!$B$9)))</f>
        <v/>
      </c>
      <c r="K657" s="8">
        <f>IF(A657="","",IF(E657="",1E+99,J657-SUMIFS($F$2:F657,$E$2:E657,E657)))</f>
        <v/>
      </c>
      <c r="L657" s="5">
        <f>IF(A657="","",IF(OR(H657&lt;0,I657&lt;0,K657&lt;0),"UNMOEGLICH","OK"))</f>
        <v/>
      </c>
    </row>
    <row r="658">
      <c r="A658" s="7">
        <f>IF(ROW()-1&lt;=Eingabe!$B$4-Eingabe!$B$3+1,Eingabe!$B$3+ROW()-2,"")</f>
        <v/>
      </c>
      <c r="B658" s="5">
        <f>IF(A658="","",TEXT(A658,"yyyy-mm-dd"))</f>
        <v/>
      </c>
      <c r="C658" s="5">
        <f>IF(A658="","",TEXT(A658,"ddd"))</f>
        <v/>
      </c>
      <c r="D658" s="5">
        <f>IF(A658="","",TEXT(A658,"yyyy-mm"))</f>
        <v/>
      </c>
      <c r="E658" s="5">
        <f>IF(A658="","",IF(A658&lt;Eingabe!$B$5,"",INT((A658-Eingabe!$B$5)/(Eingabe!$B$6*7))+1))</f>
        <v/>
      </c>
      <c r="F658" s="8">
        <f>IF(A658="","",SUMPRODUCT((Eingabe!$B$16:$B$165&lt;&gt;"")*(Eingabe!$J$16:$J$165)*--(A658&gt;=Eingabe!$G$16:$G$165)*--(A658&lt;=Eingabe!$H$16:$H$165)*--(WEEKDAY(A658,2)&lt;=5)))</f>
        <v/>
      </c>
      <c r="G658" s="8">
        <f>IF(A658="","",SUM($F$2:F658))</f>
        <v/>
      </c>
      <c r="H658" s="8">
        <f>IF(A658="","",Eingabe!$B$7-G658)</f>
        <v/>
      </c>
      <c r="I658" s="8">
        <f>IF(A658="","",Eingabe!$B$8-SUMIFS($F$2:F658,$D$2:D658,D658))</f>
        <v/>
      </c>
      <c r="J658" s="8">
        <f>IF(A658="","",IF(E658="",1E+99,IFERROR(VLOOKUP(E658,Eingabe!$D$5:$E$44,2,FALSE),Eingabe!$B$9)))</f>
        <v/>
      </c>
      <c r="K658" s="8">
        <f>IF(A658="","",IF(E658="",1E+99,J658-SUMIFS($F$2:F658,$E$2:E658,E658)))</f>
        <v/>
      </c>
      <c r="L658" s="5">
        <f>IF(A658="","",IF(OR(H658&lt;0,I658&lt;0,K658&lt;0),"UNMOEGLICH","OK"))</f>
        <v/>
      </c>
    </row>
    <row r="659">
      <c r="A659" s="7">
        <f>IF(ROW()-1&lt;=Eingabe!$B$4-Eingabe!$B$3+1,Eingabe!$B$3+ROW()-2,"")</f>
        <v/>
      </c>
      <c r="B659" s="5">
        <f>IF(A659="","",TEXT(A659,"yyyy-mm-dd"))</f>
        <v/>
      </c>
      <c r="C659" s="5">
        <f>IF(A659="","",TEXT(A659,"ddd"))</f>
        <v/>
      </c>
      <c r="D659" s="5">
        <f>IF(A659="","",TEXT(A659,"yyyy-mm"))</f>
        <v/>
      </c>
      <c r="E659" s="5">
        <f>IF(A659="","",IF(A659&lt;Eingabe!$B$5,"",INT((A659-Eingabe!$B$5)/(Eingabe!$B$6*7))+1))</f>
        <v/>
      </c>
      <c r="F659" s="8">
        <f>IF(A659="","",SUMPRODUCT((Eingabe!$B$16:$B$165&lt;&gt;"")*(Eingabe!$J$16:$J$165)*--(A659&gt;=Eingabe!$G$16:$G$165)*--(A659&lt;=Eingabe!$H$16:$H$165)*--(WEEKDAY(A659,2)&lt;=5)))</f>
        <v/>
      </c>
      <c r="G659" s="8">
        <f>IF(A659="","",SUM($F$2:F659))</f>
        <v/>
      </c>
      <c r="H659" s="8">
        <f>IF(A659="","",Eingabe!$B$7-G659)</f>
        <v/>
      </c>
      <c r="I659" s="8">
        <f>IF(A659="","",Eingabe!$B$8-SUMIFS($F$2:F659,$D$2:D659,D659))</f>
        <v/>
      </c>
      <c r="J659" s="8">
        <f>IF(A659="","",IF(E659="",1E+99,IFERROR(VLOOKUP(E659,Eingabe!$D$5:$E$44,2,FALSE),Eingabe!$B$9)))</f>
        <v/>
      </c>
      <c r="K659" s="8">
        <f>IF(A659="","",IF(E659="",1E+99,J659-SUMIFS($F$2:F659,$E$2:E659,E659)))</f>
        <v/>
      </c>
      <c r="L659" s="5">
        <f>IF(A659="","",IF(OR(H659&lt;0,I659&lt;0,K659&lt;0),"UNMOEGLICH","OK"))</f>
        <v/>
      </c>
    </row>
    <row r="660">
      <c r="A660" s="7">
        <f>IF(ROW()-1&lt;=Eingabe!$B$4-Eingabe!$B$3+1,Eingabe!$B$3+ROW()-2,"")</f>
        <v/>
      </c>
      <c r="B660" s="5">
        <f>IF(A660="","",TEXT(A660,"yyyy-mm-dd"))</f>
        <v/>
      </c>
      <c r="C660" s="5">
        <f>IF(A660="","",TEXT(A660,"ddd"))</f>
        <v/>
      </c>
      <c r="D660" s="5">
        <f>IF(A660="","",TEXT(A660,"yyyy-mm"))</f>
        <v/>
      </c>
      <c r="E660" s="5">
        <f>IF(A660="","",IF(A660&lt;Eingabe!$B$5,"",INT((A660-Eingabe!$B$5)/(Eingabe!$B$6*7))+1))</f>
        <v/>
      </c>
      <c r="F660" s="8">
        <f>IF(A660="","",SUMPRODUCT((Eingabe!$B$16:$B$165&lt;&gt;"")*(Eingabe!$J$16:$J$165)*--(A660&gt;=Eingabe!$G$16:$G$165)*--(A660&lt;=Eingabe!$H$16:$H$165)*--(WEEKDAY(A660,2)&lt;=5)))</f>
        <v/>
      </c>
      <c r="G660" s="8">
        <f>IF(A660="","",SUM($F$2:F660))</f>
        <v/>
      </c>
      <c r="H660" s="8">
        <f>IF(A660="","",Eingabe!$B$7-G660)</f>
        <v/>
      </c>
      <c r="I660" s="8">
        <f>IF(A660="","",Eingabe!$B$8-SUMIFS($F$2:F660,$D$2:D660,D660))</f>
        <v/>
      </c>
      <c r="J660" s="8">
        <f>IF(A660="","",IF(E660="",1E+99,IFERROR(VLOOKUP(E660,Eingabe!$D$5:$E$44,2,FALSE),Eingabe!$B$9)))</f>
        <v/>
      </c>
      <c r="K660" s="8">
        <f>IF(A660="","",IF(E660="",1E+99,J660-SUMIFS($F$2:F660,$E$2:E660,E660)))</f>
        <v/>
      </c>
      <c r="L660" s="5">
        <f>IF(A660="","",IF(OR(H660&lt;0,I660&lt;0,K660&lt;0),"UNMOEGLICH","OK"))</f>
        <v/>
      </c>
    </row>
    <row r="661">
      <c r="A661" s="7">
        <f>IF(ROW()-1&lt;=Eingabe!$B$4-Eingabe!$B$3+1,Eingabe!$B$3+ROW()-2,"")</f>
        <v/>
      </c>
      <c r="B661" s="5">
        <f>IF(A661="","",TEXT(A661,"yyyy-mm-dd"))</f>
        <v/>
      </c>
      <c r="C661" s="5">
        <f>IF(A661="","",TEXT(A661,"ddd"))</f>
        <v/>
      </c>
      <c r="D661" s="5">
        <f>IF(A661="","",TEXT(A661,"yyyy-mm"))</f>
        <v/>
      </c>
      <c r="E661" s="5">
        <f>IF(A661="","",IF(A661&lt;Eingabe!$B$5,"",INT((A661-Eingabe!$B$5)/(Eingabe!$B$6*7))+1))</f>
        <v/>
      </c>
      <c r="F661" s="8">
        <f>IF(A661="","",SUMPRODUCT((Eingabe!$B$16:$B$165&lt;&gt;"")*(Eingabe!$J$16:$J$165)*--(A661&gt;=Eingabe!$G$16:$G$165)*--(A661&lt;=Eingabe!$H$16:$H$165)*--(WEEKDAY(A661,2)&lt;=5)))</f>
        <v/>
      </c>
      <c r="G661" s="8">
        <f>IF(A661="","",SUM($F$2:F661))</f>
        <v/>
      </c>
      <c r="H661" s="8">
        <f>IF(A661="","",Eingabe!$B$7-G661)</f>
        <v/>
      </c>
      <c r="I661" s="8">
        <f>IF(A661="","",Eingabe!$B$8-SUMIFS($F$2:F661,$D$2:D661,D661))</f>
        <v/>
      </c>
      <c r="J661" s="8">
        <f>IF(A661="","",IF(E661="",1E+99,IFERROR(VLOOKUP(E661,Eingabe!$D$5:$E$44,2,FALSE),Eingabe!$B$9)))</f>
        <v/>
      </c>
      <c r="K661" s="8">
        <f>IF(A661="","",IF(E661="",1E+99,J661-SUMIFS($F$2:F661,$E$2:E661,E661)))</f>
        <v/>
      </c>
      <c r="L661" s="5">
        <f>IF(A661="","",IF(OR(H661&lt;0,I661&lt;0,K661&lt;0),"UNMOEGLICH","OK"))</f>
        <v/>
      </c>
    </row>
    <row r="662">
      <c r="A662" s="7">
        <f>IF(ROW()-1&lt;=Eingabe!$B$4-Eingabe!$B$3+1,Eingabe!$B$3+ROW()-2,"")</f>
        <v/>
      </c>
      <c r="B662" s="5">
        <f>IF(A662="","",TEXT(A662,"yyyy-mm-dd"))</f>
        <v/>
      </c>
      <c r="C662" s="5">
        <f>IF(A662="","",TEXT(A662,"ddd"))</f>
        <v/>
      </c>
      <c r="D662" s="5">
        <f>IF(A662="","",TEXT(A662,"yyyy-mm"))</f>
        <v/>
      </c>
      <c r="E662" s="5">
        <f>IF(A662="","",IF(A662&lt;Eingabe!$B$5,"",INT((A662-Eingabe!$B$5)/(Eingabe!$B$6*7))+1))</f>
        <v/>
      </c>
      <c r="F662" s="8">
        <f>IF(A662="","",SUMPRODUCT((Eingabe!$B$16:$B$165&lt;&gt;"")*(Eingabe!$J$16:$J$165)*--(A662&gt;=Eingabe!$G$16:$G$165)*--(A662&lt;=Eingabe!$H$16:$H$165)*--(WEEKDAY(A662,2)&lt;=5)))</f>
        <v/>
      </c>
      <c r="G662" s="8">
        <f>IF(A662="","",SUM($F$2:F662))</f>
        <v/>
      </c>
      <c r="H662" s="8">
        <f>IF(A662="","",Eingabe!$B$7-G662)</f>
        <v/>
      </c>
      <c r="I662" s="8">
        <f>IF(A662="","",Eingabe!$B$8-SUMIFS($F$2:F662,$D$2:D662,D662))</f>
        <v/>
      </c>
      <c r="J662" s="8">
        <f>IF(A662="","",IF(E662="",1E+99,IFERROR(VLOOKUP(E662,Eingabe!$D$5:$E$44,2,FALSE),Eingabe!$B$9)))</f>
        <v/>
      </c>
      <c r="K662" s="8">
        <f>IF(A662="","",IF(E662="",1E+99,J662-SUMIFS($F$2:F662,$E$2:E662,E662)))</f>
        <v/>
      </c>
      <c r="L662" s="5">
        <f>IF(A662="","",IF(OR(H662&lt;0,I662&lt;0,K662&lt;0),"UNMOEGLICH","OK"))</f>
        <v/>
      </c>
    </row>
    <row r="663">
      <c r="A663" s="7">
        <f>IF(ROW()-1&lt;=Eingabe!$B$4-Eingabe!$B$3+1,Eingabe!$B$3+ROW()-2,"")</f>
        <v/>
      </c>
      <c r="B663" s="5">
        <f>IF(A663="","",TEXT(A663,"yyyy-mm-dd"))</f>
        <v/>
      </c>
      <c r="C663" s="5">
        <f>IF(A663="","",TEXT(A663,"ddd"))</f>
        <v/>
      </c>
      <c r="D663" s="5">
        <f>IF(A663="","",TEXT(A663,"yyyy-mm"))</f>
        <v/>
      </c>
      <c r="E663" s="5">
        <f>IF(A663="","",IF(A663&lt;Eingabe!$B$5,"",INT((A663-Eingabe!$B$5)/(Eingabe!$B$6*7))+1))</f>
        <v/>
      </c>
      <c r="F663" s="8">
        <f>IF(A663="","",SUMPRODUCT((Eingabe!$B$16:$B$165&lt;&gt;"")*(Eingabe!$J$16:$J$165)*--(A663&gt;=Eingabe!$G$16:$G$165)*--(A663&lt;=Eingabe!$H$16:$H$165)*--(WEEKDAY(A663,2)&lt;=5)))</f>
        <v/>
      </c>
      <c r="G663" s="8">
        <f>IF(A663="","",SUM($F$2:F663))</f>
        <v/>
      </c>
      <c r="H663" s="8">
        <f>IF(A663="","",Eingabe!$B$7-G663)</f>
        <v/>
      </c>
      <c r="I663" s="8">
        <f>IF(A663="","",Eingabe!$B$8-SUMIFS($F$2:F663,$D$2:D663,D663))</f>
        <v/>
      </c>
      <c r="J663" s="8">
        <f>IF(A663="","",IF(E663="",1E+99,IFERROR(VLOOKUP(E663,Eingabe!$D$5:$E$44,2,FALSE),Eingabe!$B$9)))</f>
        <v/>
      </c>
      <c r="K663" s="8">
        <f>IF(A663="","",IF(E663="",1E+99,J663-SUMIFS($F$2:F663,$E$2:E663,E663)))</f>
        <v/>
      </c>
      <c r="L663" s="5">
        <f>IF(A663="","",IF(OR(H663&lt;0,I663&lt;0,K663&lt;0),"UNMOEGLICH","OK"))</f>
        <v/>
      </c>
    </row>
    <row r="664">
      <c r="A664" s="7">
        <f>IF(ROW()-1&lt;=Eingabe!$B$4-Eingabe!$B$3+1,Eingabe!$B$3+ROW()-2,"")</f>
        <v/>
      </c>
      <c r="B664" s="5">
        <f>IF(A664="","",TEXT(A664,"yyyy-mm-dd"))</f>
        <v/>
      </c>
      <c r="C664" s="5">
        <f>IF(A664="","",TEXT(A664,"ddd"))</f>
        <v/>
      </c>
      <c r="D664" s="5">
        <f>IF(A664="","",TEXT(A664,"yyyy-mm"))</f>
        <v/>
      </c>
      <c r="E664" s="5">
        <f>IF(A664="","",IF(A664&lt;Eingabe!$B$5,"",INT((A664-Eingabe!$B$5)/(Eingabe!$B$6*7))+1))</f>
        <v/>
      </c>
      <c r="F664" s="8">
        <f>IF(A664="","",SUMPRODUCT((Eingabe!$B$16:$B$165&lt;&gt;"")*(Eingabe!$J$16:$J$165)*--(A664&gt;=Eingabe!$G$16:$G$165)*--(A664&lt;=Eingabe!$H$16:$H$165)*--(WEEKDAY(A664,2)&lt;=5)))</f>
        <v/>
      </c>
      <c r="G664" s="8">
        <f>IF(A664="","",SUM($F$2:F664))</f>
        <v/>
      </c>
      <c r="H664" s="8">
        <f>IF(A664="","",Eingabe!$B$7-G664)</f>
        <v/>
      </c>
      <c r="I664" s="8">
        <f>IF(A664="","",Eingabe!$B$8-SUMIFS($F$2:F664,$D$2:D664,D664))</f>
        <v/>
      </c>
      <c r="J664" s="8">
        <f>IF(A664="","",IF(E664="",1E+99,IFERROR(VLOOKUP(E664,Eingabe!$D$5:$E$44,2,FALSE),Eingabe!$B$9)))</f>
        <v/>
      </c>
      <c r="K664" s="8">
        <f>IF(A664="","",IF(E664="",1E+99,J664-SUMIFS($F$2:F664,$E$2:E664,E664)))</f>
        <v/>
      </c>
      <c r="L664" s="5">
        <f>IF(A664="","",IF(OR(H664&lt;0,I664&lt;0,K664&lt;0),"UNMOEGLICH","OK"))</f>
        <v/>
      </c>
    </row>
    <row r="665">
      <c r="A665" s="7">
        <f>IF(ROW()-1&lt;=Eingabe!$B$4-Eingabe!$B$3+1,Eingabe!$B$3+ROW()-2,"")</f>
        <v/>
      </c>
      <c r="B665" s="5">
        <f>IF(A665="","",TEXT(A665,"yyyy-mm-dd"))</f>
        <v/>
      </c>
      <c r="C665" s="5">
        <f>IF(A665="","",TEXT(A665,"ddd"))</f>
        <v/>
      </c>
      <c r="D665" s="5">
        <f>IF(A665="","",TEXT(A665,"yyyy-mm"))</f>
        <v/>
      </c>
      <c r="E665" s="5">
        <f>IF(A665="","",IF(A665&lt;Eingabe!$B$5,"",INT((A665-Eingabe!$B$5)/(Eingabe!$B$6*7))+1))</f>
        <v/>
      </c>
      <c r="F665" s="8">
        <f>IF(A665="","",SUMPRODUCT((Eingabe!$B$16:$B$165&lt;&gt;"")*(Eingabe!$J$16:$J$165)*--(A665&gt;=Eingabe!$G$16:$G$165)*--(A665&lt;=Eingabe!$H$16:$H$165)*--(WEEKDAY(A665,2)&lt;=5)))</f>
        <v/>
      </c>
      <c r="G665" s="8">
        <f>IF(A665="","",SUM($F$2:F665))</f>
        <v/>
      </c>
      <c r="H665" s="8">
        <f>IF(A665="","",Eingabe!$B$7-G665)</f>
        <v/>
      </c>
      <c r="I665" s="8">
        <f>IF(A665="","",Eingabe!$B$8-SUMIFS($F$2:F665,$D$2:D665,D665))</f>
        <v/>
      </c>
      <c r="J665" s="8">
        <f>IF(A665="","",IF(E665="",1E+99,IFERROR(VLOOKUP(E665,Eingabe!$D$5:$E$44,2,FALSE),Eingabe!$B$9)))</f>
        <v/>
      </c>
      <c r="K665" s="8">
        <f>IF(A665="","",IF(E665="",1E+99,J665-SUMIFS($F$2:F665,$E$2:E665,E665)))</f>
        <v/>
      </c>
      <c r="L665" s="5">
        <f>IF(A665="","",IF(OR(H665&lt;0,I665&lt;0,K665&lt;0),"UNMOEGLICH","OK"))</f>
        <v/>
      </c>
    </row>
    <row r="666">
      <c r="A666" s="7">
        <f>IF(ROW()-1&lt;=Eingabe!$B$4-Eingabe!$B$3+1,Eingabe!$B$3+ROW()-2,"")</f>
        <v/>
      </c>
      <c r="B666" s="5">
        <f>IF(A666="","",TEXT(A666,"yyyy-mm-dd"))</f>
        <v/>
      </c>
      <c r="C666" s="5">
        <f>IF(A666="","",TEXT(A666,"ddd"))</f>
        <v/>
      </c>
      <c r="D666" s="5">
        <f>IF(A666="","",TEXT(A666,"yyyy-mm"))</f>
        <v/>
      </c>
      <c r="E666" s="5">
        <f>IF(A666="","",IF(A666&lt;Eingabe!$B$5,"",INT((A666-Eingabe!$B$5)/(Eingabe!$B$6*7))+1))</f>
        <v/>
      </c>
      <c r="F666" s="8">
        <f>IF(A666="","",SUMPRODUCT((Eingabe!$B$16:$B$165&lt;&gt;"")*(Eingabe!$J$16:$J$165)*--(A666&gt;=Eingabe!$G$16:$G$165)*--(A666&lt;=Eingabe!$H$16:$H$165)*--(WEEKDAY(A666,2)&lt;=5)))</f>
        <v/>
      </c>
      <c r="G666" s="8">
        <f>IF(A666="","",SUM($F$2:F666))</f>
        <v/>
      </c>
      <c r="H666" s="8">
        <f>IF(A666="","",Eingabe!$B$7-G666)</f>
        <v/>
      </c>
      <c r="I666" s="8">
        <f>IF(A666="","",Eingabe!$B$8-SUMIFS($F$2:F666,$D$2:D666,D666))</f>
        <v/>
      </c>
      <c r="J666" s="8">
        <f>IF(A666="","",IF(E666="",1E+99,IFERROR(VLOOKUP(E666,Eingabe!$D$5:$E$44,2,FALSE),Eingabe!$B$9)))</f>
        <v/>
      </c>
      <c r="K666" s="8">
        <f>IF(A666="","",IF(E666="",1E+99,J666-SUMIFS($F$2:F666,$E$2:E666,E666)))</f>
        <v/>
      </c>
      <c r="L666" s="5">
        <f>IF(A666="","",IF(OR(H666&lt;0,I666&lt;0,K666&lt;0),"UNMOEGLICH","OK"))</f>
        <v/>
      </c>
    </row>
    <row r="667">
      <c r="A667" s="7">
        <f>IF(ROW()-1&lt;=Eingabe!$B$4-Eingabe!$B$3+1,Eingabe!$B$3+ROW()-2,"")</f>
        <v/>
      </c>
      <c r="B667" s="5">
        <f>IF(A667="","",TEXT(A667,"yyyy-mm-dd"))</f>
        <v/>
      </c>
      <c r="C667" s="5">
        <f>IF(A667="","",TEXT(A667,"ddd"))</f>
        <v/>
      </c>
      <c r="D667" s="5">
        <f>IF(A667="","",TEXT(A667,"yyyy-mm"))</f>
        <v/>
      </c>
      <c r="E667" s="5">
        <f>IF(A667="","",IF(A667&lt;Eingabe!$B$5,"",INT((A667-Eingabe!$B$5)/(Eingabe!$B$6*7))+1))</f>
        <v/>
      </c>
      <c r="F667" s="8">
        <f>IF(A667="","",SUMPRODUCT((Eingabe!$B$16:$B$165&lt;&gt;"")*(Eingabe!$J$16:$J$165)*--(A667&gt;=Eingabe!$G$16:$G$165)*--(A667&lt;=Eingabe!$H$16:$H$165)*--(WEEKDAY(A667,2)&lt;=5)))</f>
        <v/>
      </c>
      <c r="G667" s="8">
        <f>IF(A667="","",SUM($F$2:F667))</f>
        <v/>
      </c>
      <c r="H667" s="8">
        <f>IF(A667="","",Eingabe!$B$7-G667)</f>
        <v/>
      </c>
      <c r="I667" s="8">
        <f>IF(A667="","",Eingabe!$B$8-SUMIFS($F$2:F667,$D$2:D667,D667))</f>
        <v/>
      </c>
      <c r="J667" s="8">
        <f>IF(A667="","",IF(E667="",1E+99,IFERROR(VLOOKUP(E667,Eingabe!$D$5:$E$44,2,FALSE),Eingabe!$B$9)))</f>
        <v/>
      </c>
      <c r="K667" s="8">
        <f>IF(A667="","",IF(E667="",1E+99,J667-SUMIFS($F$2:F667,$E$2:E667,E667)))</f>
        <v/>
      </c>
      <c r="L667" s="5">
        <f>IF(A667="","",IF(OR(H667&lt;0,I667&lt;0,K667&lt;0),"UNMOEGLICH","OK"))</f>
        <v/>
      </c>
    </row>
    <row r="668">
      <c r="A668" s="7">
        <f>IF(ROW()-1&lt;=Eingabe!$B$4-Eingabe!$B$3+1,Eingabe!$B$3+ROW()-2,"")</f>
        <v/>
      </c>
      <c r="B668" s="5">
        <f>IF(A668="","",TEXT(A668,"yyyy-mm-dd"))</f>
        <v/>
      </c>
      <c r="C668" s="5">
        <f>IF(A668="","",TEXT(A668,"ddd"))</f>
        <v/>
      </c>
      <c r="D668" s="5">
        <f>IF(A668="","",TEXT(A668,"yyyy-mm"))</f>
        <v/>
      </c>
      <c r="E668" s="5">
        <f>IF(A668="","",IF(A668&lt;Eingabe!$B$5,"",INT((A668-Eingabe!$B$5)/(Eingabe!$B$6*7))+1))</f>
        <v/>
      </c>
      <c r="F668" s="8">
        <f>IF(A668="","",SUMPRODUCT((Eingabe!$B$16:$B$165&lt;&gt;"")*(Eingabe!$J$16:$J$165)*--(A668&gt;=Eingabe!$G$16:$G$165)*--(A668&lt;=Eingabe!$H$16:$H$165)*--(WEEKDAY(A668,2)&lt;=5)))</f>
        <v/>
      </c>
      <c r="G668" s="8">
        <f>IF(A668="","",SUM($F$2:F668))</f>
        <v/>
      </c>
      <c r="H668" s="8">
        <f>IF(A668="","",Eingabe!$B$7-G668)</f>
        <v/>
      </c>
      <c r="I668" s="8">
        <f>IF(A668="","",Eingabe!$B$8-SUMIFS($F$2:F668,$D$2:D668,D668))</f>
        <v/>
      </c>
      <c r="J668" s="8">
        <f>IF(A668="","",IF(E668="",1E+99,IFERROR(VLOOKUP(E668,Eingabe!$D$5:$E$44,2,FALSE),Eingabe!$B$9)))</f>
        <v/>
      </c>
      <c r="K668" s="8">
        <f>IF(A668="","",IF(E668="",1E+99,J668-SUMIFS($F$2:F668,$E$2:E668,E668)))</f>
        <v/>
      </c>
      <c r="L668" s="5">
        <f>IF(A668="","",IF(OR(H668&lt;0,I668&lt;0,K668&lt;0),"UNMOEGLICH","OK"))</f>
        <v/>
      </c>
    </row>
    <row r="669">
      <c r="A669" s="7">
        <f>IF(ROW()-1&lt;=Eingabe!$B$4-Eingabe!$B$3+1,Eingabe!$B$3+ROW()-2,"")</f>
        <v/>
      </c>
      <c r="B669" s="5">
        <f>IF(A669="","",TEXT(A669,"yyyy-mm-dd"))</f>
        <v/>
      </c>
      <c r="C669" s="5">
        <f>IF(A669="","",TEXT(A669,"ddd"))</f>
        <v/>
      </c>
      <c r="D669" s="5">
        <f>IF(A669="","",TEXT(A669,"yyyy-mm"))</f>
        <v/>
      </c>
      <c r="E669" s="5">
        <f>IF(A669="","",IF(A669&lt;Eingabe!$B$5,"",INT((A669-Eingabe!$B$5)/(Eingabe!$B$6*7))+1))</f>
        <v/>
      </c>
      <c r="F669" s="8">
        <f>IF(A669="","",SUMPRODUCT((Eingabe!$B$16:$B$165&lt;&gt;"")*(Eingabe!$J$16:$J$165)*--(A669&gt;=Eingabe!$G$16:$G$165)*--(A669&lt;=Eingabe!$H$16:$H$165)*--(WEEKDAY(A669,2)&lt;=5)))</f>
        <v/>
      </c>
      <c r="G669" s="8">
        <f>IF(A669="","",SUM($F$2:F669))</f>
        <v/>
      </c>
      <c r="H669" s="8">
        <f>IF(A669="","",Eingabe!$B$7-G669)</f>
        <v/>
      </c>
      <c r="I669" s="8">
        <f>IF(A669="","",Eingabe!$B$8-SUMIFS($F$2:F669,$D$2:D669,D669))</f>
        <v/>
      </c>
      <c r="J669" s="8">
        <f>IF(A669="","",IF(E669="",1E+99,IFERROR(VLOOKUP(E669,Eingabe!$D$5:$E$44,2,FALSE),Eingabe!$B$9)))</f>
        <v/>
      </c>
      <c r="K669" s="8">
        <f>IF(A669="","",IF(E669="",1E+99,J669-SUMIFS($F$2:F669,$E$2:E669,E669)))</f>
        <v/>
      </c>
      <c r="L669" s="5">
        <f>IF(A669="","",IF(OR(H669&lt;0,I669&lt;0,K669&lt;0),"UNMOEGLICH","OK"))</f>
        <v/>
      </c>
    </row>
    <row r="670">
      <c r="A670" s="7">
        <f>IF(ROW()-1&lt;=Eingabe!$B$4-Eingabe!$B$3+1,Eingabe!$B$3+ROW()-2,"")</f>
        <v/>
      </c>
      <c r="B670" s="5">
        <f>IF(A670="","",TEXT(A670,"yyyy-mm-dd"))</f>
        <v/>
      </c>
      <c r="C670" s="5">
        <f>IF(A670="","",TEXT(A670,"ddd"))</f>
        <v/>
      </c>
      <c r="D670" s="5">
        <f>IF(A670="","",TEXT(A670,"yyyy-mm"))</f>
        <v/>
      </c>
      <c r="E670" s="5">
        <f>IF(A670="","",IF(A670&lt;Eingabe!$B$5,"",INT((A670-Eingabe!$B$5)/(Eingabe!$B$6*7))+1))</f>
        <v/>
      </c>
      <c r="F670" s="8">
        <f>IF(A670="","",SUMPRODUCT((Eingabe!$B$16:$B$165&lt;&gt;"")*(Eingabe!$J$16:$J$165)*--(A670&gt;=Eingabe!$G$16:$G$165)*--(A670&lt;=Eingabe!$H$16:$H$165)*--(WEEKDAY(A670,2)&lt;=5)))</f>
        <v/>
      </c>
      <c r="G670" s="8">
        <f>IF(A670="","",SUM($F$2:F670))</f>
        <v/>
      </c>
      <c r="H670" s="8">
        <f>IF(A670="","",Eingabe!$B$7-G670)</f>
        <v/>
      </c>
      <c r="I670" s="8">
        <f>IF(A670="","",Eingabe!$B$8-SUMIFS($F$2:F670,$D$2:D670,D670))</f>
        <v/>
      </c>
      <c r="J670" s="8">
        <f>IF(A670="","",IF(E670="",1E+99,IFERROR(VLOOKUP(E670,Eingabe!$D$5:$E$44,2,FALSE),Eingabe!$B$9)))</f>
        <v/>
      </c>
      <c r="K670" s="8">
        <f>IF(A670="","",IF(E670="",1E+99,J670-SUMIFS($F$2:F670,$E$2:E670,E670)))</f>
        <v/>
      </c>
      <c r="L670" s="5">
        <f>IF(A670="","",IF(OR(H670&lt;0,I670&lt;0,K670&lt;0),"UNMOEGLICH","OK"))</f>
        <v/>
      </c>
    </row>
    <row r="671">
      <c r="A671" s="7">
        <f>IF(ROW()-1&lt;=Eingabe!$B$4-Eingabe!$B$3+1,Eingabe!$B$3+ROW()-2,"")</f>
        <v/>
      </c>
      <c r="B671" s="5">
        <f>IF(A671="","",TEXT(A671,"yyyy-mm-dd"))</f>
        <v/>
      </c>
      <c r="C671" s="5">
        <f>IF(A671="","",TEXT(A671,"ddd"))</f>
        <v/>
      </c>
      <c r="D671" s="5">
        <f>IF(A671="","",TEXT(A671,"yyyy-mm"))</f>
        <v/>
      </c>
      <c r="E671" s="5">
        <f>IF(A671="","",IF(A671&lt;Eingabe!$B$5,"",INT((A671-Eingabe!$B$5)/(Eingabe!$B$6*7))+1))</f>
        <v/>
      </c>
      <c r="F671" s="8">
        <f>IF(A671="","",SUMPRODUCT((Eingabe!$B$16:$B$165&lt;&gt;"")*(Eingabe!$J$16:$J$165)*--(A671&gt;=Eingabe!$G$16:$G$165)*--(A671&lt;=Eingabe!$H$16:$H$165)*--(WEEKDAY(A671,2)&lt;=5)))</f>
        <v/>
      </c>
      <c r="G671" s="8">
        <f>IF(A671="","",SUM($F$2:F671))</f>
        <v/>
      </c>
      <c r="H671" s="8">
        <f>IF(A671="","",Eingabe!$B$7-G671)</f>
        <v/>
      </c>
      <c r="I671" s="8">
        <f>IF(A671="","",Eingabe!$B$8-SUMIFS($F$2:F671,$D$2:D671,D671))</f>
        <v/>
      </c>
      <c r="J671" s="8">
        <f>IF(A671="","",IF(E671="",1E+99,IFERROR(VLOOKUP(E671,Eingabe!$D$5:$E$44,2,FALSE),Eingabe!$B$9)))</f>
        <v/>
      </c>
      <c r="K671" s="8">
        <f>IF(A671="","",IF(E671="",1E+99,J671-SUMIFS($F$2:F671,$E$2:E671,E671)))</f>
        <v/>
      </c>
      <c r="L671" s="5">
        <f>IF(A671="","",IF(OR(H671&lt;0,I671&lt;0,K671&lt;0),"UNMOEGLICH","OK"))</f>
        <v/>
      </c>
    </row>
    <row r="672">
      <c r="A672" s="7">
        <f>IF(ROW()-1&lt;=Eingabe!$B$4-Eingabe!$B$3+1,Eingabe!$B$3+ROW()-2,"")</f>
        <v/>
      </c>
      <c r="B672" s="5">
        <f>IF(A672="","",TEXT(A672,"yyyy-mm-dd"))</f>
        <v/>
      </c>
      <c r="C672" s="5">
        <f>IF(A672="","",TEXT(A672,"ddd"))</f>
        <v/>
      </c>
      <c r="D672" s="5">
        <f>IF(A672="","",TEXT(A672,"yyyy-mm"))</f>
        <v/>
      </c>
      <c r="E672" s="5">
        <f>IF(A672="","",IF(A672&lt;Eingabe!$B$5,"",INT((A672-Eingabe!$B$5)/(Eingabe!$B$6*7))+1))</f>
        <v/>
      </c>
      <c r="F672" s="8">
        <f>IF(A672="","",SUMPRODUCT((Eingabe!$B$16:$B$165&lt;&gt;"")*(Eingabe!$J$16:$J$165)*--(A672&gt;=Eingabe!$G$16:$G$165)*--(A672&lt;=Eingabe!$H$16:$H$165)*--(WEEKDAY(A672,2)&lt;=5)))</f>
        <v/>
      </c>
      <c r="G672" s="8">
        <f>IF(A672="","",SUM($F$2:F672))</f>
        <v/>
      </c>
      <c r="H672" s="8">
        <f>IF(A672="","",Eingabe!$B$7-G672)</f>
        <v/>
      </c>
      <c r="I672" s="8">
        <f>IF(A672="","",Eingabe!$B$8-SUMIFS($F$2:F672,$D$2:D672,D672))</f>
        <v/>
      </c>
      <c r="J672" s="8">
        <f>IF(A672="","",IF(E672="",1E+99,IFERROR(VLOOKUP(E672,Eingabe!$D$5:$E$44,2,FALSE),Eingabe!$B$9)))</f>
        <v/>
      </c>
      <c r="K672" s="8">
        <f>IF(A672="","",IF(E672="",1E+99,J672-SUMIFS($F$2:F672,$E$2:E672,E672)))</f>
        <v/>
      </c>
      <c r="L672" s="5">
        <f>IF(A672="","",IF(OR(H672&lt;0,I672&lt;0,K672&lt;0),"UNMOEGLICH","OK"))</f>
        <v/>
      </c>
    </row>
    <row r="673">
      <c r="A673" s="7">
        <f>IF(ROW()-1&lt;=Eingabe!$B$4-Eingabe!$B$3+1,Eingabe!$B$3+ROW()-2,"")</f>
        <v/>
      </c>
      <c r="B673" s="5">
        <f>IF(A673="","",TEXT(A673,"yyyy-mm-dd"))</f>
        <v/>
      </c>
      <c r="C673" s="5">
        <f>IF(A673="","",TEXT(A673,"ddd"))</f>
        <v/>
      </c>
      <c r="D673" s="5">
        <f>IF(A673="","",TEXT(A673,"yyyy-mm"))</f>
        <v/>
      </c>
      <c r="E673" s="5">
        <f>IF(A673="","",IF(A673&lt;Eingabe!$B$5,"",INT((A673-Eingabe!$B$5)/(Eingabe!$B$6*7))+1))</f>
        <v/>
      </c>
      <c r="F673" s="8">
        <f>IF(A673="","",SUMPRODUCT((Eingabe!$B$16:$B$165&lt;&gt;"")*(Eingabe!$J$16:$J$165)*--(A673&gt;=Eingabe!$G$16:$G$165)*--(A673&lt;=Eingabe!$H$16:$H$165)*--(WEEKDAY(A673,2)&lt;=5)))</f>
        <v/>
      </c>
      <c r="G673" s="8">
        <f>IF(A673="","",SUM($F$2:F673))</f>
        <v/>
      </c>
      <c r="H673" s="8">
        <f>IF(A673="","",Eingabe!$B$7-G673)</f>
        <v/>
      </c>
      <c r="I673" s="8">
        <f>IF(A673="","",Eingabe!$B$8-SUMIFS($F$2:F673,$D$2:D673,D673))</f>
        <v/>
      </c>
      <c r="J673" s="8">
        <f>IF(A673="","",IF(E673="",1E+99,IFERROR(VLOOKUP(E673,Eingabe!$D$5:$E$44,2,FALSE),Eingabe!$B$9)))</f>
        <v/>
      </c>
      <c r="K673" s="8">
        <f>IF(A673="","",IF(E673="",1E+99,J673-SUMIFS($F$2:F673,$E$2:E673,E673)))</f>
        <v/>
      </c>
      <c r="L673" s="5">
        <f>IF(A673="","",IF(OR(H673&lt;0,I673&lt;0,K673&lt;0),"UNMOEGLICH","OK"))</f>
        <v/>
      </c>
    </row>
    <row r="674">
      <c r="A674" s="7">
        <f>IF(ROW()-1&lt;=Eingabe!$B$4-Eingabe!$B$3+1,Eingabe!$B$3+ROW()-2,"")</f>
        <v/>
      </c>
      <c r="B674" s="5">
        <f>IF(A674="","",TEXT(A674,"yyyy-mm-dd"))</f>
        <v/>
      </c>
      <c r="C674" s="5">
        <f>IF(A674="","",TEXT(A674,"ddd"))</f>
        <v/>
      </c>
      <c r="D674" s="5">
        <f>IF(A674="","",TEXT(A674,"yyyy-mm"))</f>
        <v/>
      </c>
      <c r="E674" s="5">
        <f>IF(A674="","",IF(A674&lt;Eingabe!$B$5,"",INT((A674-Eingabe!$B$5)/(Eingabe!$B$6*7))+1))</f>
        <v/>
      </c>
      <c r="F674" s="8">
        <f>IF(A674="","",SUMPRODUCT((Eingabe!$B$16:$B$165&lt;&gt;"")*(Eingabe!$J$16:$J$165)*--(A674&gt;=Eingabe!$G$16:$G$165)*--(A674&lt;=Eingabe!$H$16:$H$165)*--(WEEKDAY(A674,2)&lt;=5)))</f>
        <v/>
      </c>
      <c r="G674" s="8">
        <f>IF(A674="","",SUM($F$2:F674))</f>
        <v/>
      </c>
      <c r="H674" s="8">
        <f>IF(A674="","",Eingabe!$B$7-G674)</f>
        <v/>
      </c>
      <c r="I674" s="8">
        <f>IF(A674="","",Eingabe!$B$8-SUMIFS($F$2:F674,$D$2:D674,D674))</f>
        <v/>
      </c>
      <c r="J674" s="8">
        <f>IF(A674="","",IF(E674="",1E+99,IFERROR(VLOOKUP(E674,Eingabe!$D$5:$E$44,2,FALSE),Eingabe!$B$9)))</f>
        <v/>
      </c>
      <c r="K674" s="8">
        <f>IF(A674="","",IF(E674="",1E+99,J674-SUMIFS($F$2:F674,$E$2:E674,E674)))</f>
        <v/>
      </c>
      <c r="L674" s="5">
        <f>IF(A674="","",IF(OR(H674&lt;0,I674&lt;0,K674&lt;0),"UNMOEGLICH","OK"))</f>
        <v/>
      </c>
    </row>
    <row r="675">
      <c r="A675" s="7">
        <f>IF(ROW()-1&lt;=Eingabe!$B$4-Eingabe!$B$3+1,Eingabe!$B$3+ROW()-2,"")</f>
        <v/>
      </c>
      <c r="B675" s="5">
        <f>IF(A675="","",TEXT(A675,"yyyy-mm-dd"))</f>
        <v/>
      </c>
      <c r="C675" s="5">
        <f>IF(A675="","",TEXT(A675,"ddd"))</f>
        <v/>
      </c>
      <c r="D675" s="5">
        <f>IF(A675="","",TEXT(A675,"yyyy-mm"))</f>
        <v/>
      </c>
      <c r="E675" s="5">
        <f>IF(A675="","",IF(A675&lt;Eingabe!$B$5,"",INT((A675-Eingabe!$B$5)/(Eingabe!$B$6*7))+1))</f>
        <v/>
      </c>
      <c r="F675" s="8">
        <f>IF(A675="","",SUMPRODUCT((Eingabe!$B$16:$B$165&lt;&gt;"")*(Eingabe!$J$16:$J$165)*--(A675&gt;=Eingabe!$G$16:$G$165)*--(A675&lt;=Eingabe!$H$16:$H$165)*--(WEEKDAY(A675,2)&lt;=5)))</f>
        <v/>
      </c>
      <c r="G675" s="8">
        <f>IF(A675="","",SUM($F$2:F675))</f>
        <v/>
      </c>
      <c r="H675" s="8">
        <f>IF(A675="","",Eingabe!$B$7-G675)</f>
        <v/>
      </c>
      <c r="I675" s="8">
        <f>IF(A675="","",Eingabe!$B$8-SUMIFS($F$2:F675,$D$2:D675,D675))</f>
        <v/>
      </c>
      <c r="J675" s="8">
        <f>IF(A675="","",IF(E675="",1E+99,IFERROR(VLOOKUP(E675,Eingabe!$D$5:$E$44,2,FALSE),Eingabe!$B$9)))</f>
        <v/>
      </c>
      <c r="K675" s="8">
        <f>IF(A675="","",IF(E675="",1E+99,J675-SUMIFS($F$2:F675,$E$2:E675,E675)))</f>
        <v/>
      </c>
      <c r="L675" s="5">
        <f>IF(A675="","",IF(OR(H675&lt;0,I675&lt;0,K675&lt;0),"UNMOEGLICH","OK"))</f>
        <v/>
      </c>
    </row>
    <row r="676">
      <c r="A676" s="7">
        <f>IF(ROW()-1&lt;=Eingabe!$B$4-Eingabe!$B$3+1,Eingabe!$B$3+ROW()-2,"")</f>
        <v/>
      </c>
      <c r="B676" s="5">
        <f>IF(A676="","",TEXT(A676,"yyyy-mm-dd"))</f>
        <v/>
      </c>
      <c r="C676" s="5">
        <f>IF(A676="","",TEXT(A676,"ddd"))</f>
        <v/>
      </c>
      <c r="D676" s="5">
        <f>IF(A676="","",TEXT(A676,"yyyy-mm"))</f>
        <v/>
      </c>
      <c r="E676" s="5">
        <f>IF(A676="","",IF(A676&lt;Eingabe!$B$5,"",INT((A676-Eingabe!$B$5)/(Eingabe!$B$6*7))+1))</f>
        <v/>
      </c>
      <c r="F676" s="8">
        <f>IF(A676="","",SUMPRODUCT((Eingabe!$B$16:$B$165&lt;&gt;"")*(Eingabe!$J$16:$J$165)*--(A676&gt;=Eingabe!$G$16:$G$165)*--(A676&lt;=Eingabe!$H$16:$H$165)*--(WEEKDAY(A676,2)&lt;=5)))</f>
        <v/>
      </c>
      <c r="G676" s="8">
        <f>IF(A676="","",SUM($F$2:F676))</f>
        <v/>
      </c>
      <c r="H676" s="8">
        <f>IF(A676="","",Eingabe!$B$7-G676)</f>
        <v/>
      </c>
      <c r="I676" s="8">
        <f>IF(A676="","",Eingabe!$B$8-SUMIFS($F$2:F676,$D$2:D676,D676))</f>
        <v/>
      </c>
      <c r="J676" s="8">
        <f>IF(A676="","",IF(E676="",1E+99,IFERROR(VLOOKUP(E676,Eingabe!$D$5:$E$44,2,FALSE),Eingabe!$B$9)))</f>
        <v/>
      </c>
      <c r="K676" s="8">
        <f>IF(A676="","",IF(E676="",1E+99,J676-SUMIFS($F$2:F676,$E$2:E676,E676)))</f>
        <v/>
      </c>
      <c r="L676" s="5">
        <f>IF(A676="","",IF(OR(H676&lt;0,I676&lt;0,K676&lt;0),"UNMOEGLICH","OK"))</f>
        <v/>
      </c>
    </row>
    <row r="677">
      <c r="A677" s="7">
        <f>IF(ROW()-1&lt;=Eingabe!$B$4-Eingabe!$B$3+1,Eingabe!$B$3+ROW()-2,"")</f>
        <v/>
      </c>
      <c r="B677" s="5">
        <f>IF(A677="","",TEXT(A677,"yyyy-mm-dd"))</f>
        <v/>
      </c>
      <c r="C677" s="5">
        <f>IF(A677="","",TEXT(A677,"ddd"))</f>
        <v/>
      </c>
      <c r="D677" s="5">
        <f>IF(A677="","",TEXT(A677,"yyyy-mm"))</f>
        <v/>
      </c>
      <c r="E677" s="5">
        <f>IF(A677="","",IF(A677&lt;Eingabe!$B$5,"",INT((A677-Eingabe!$B$5)/(Eingabe!$B$6*7))+1))</f>
        <v/>
      </c>
      <c r="F677" s="8">
        <f>IF(A677="","",SUMPRODUCT((Eingabe!$B$16:$B$165&lt;&gt;"")*(Eingabe!$J$16:$J$165)*--(A677&gt;=Eingabe!$G$16:$G$165)*--(A677&lt;=Eingabe!$H$16:$H$165)*--(WEEKDAY(A677,2)&lt;=5)))</f>
        <v/>
      </c>
      <c r="G677" s="8">
        <f>IF(A677="","",SUM($F$2:F677))</f>
        <v/>
      </c>
      <c r="H677" s="8">
        <f>IF(A677="","",Eingabe!$B$7-G677)</f>
        <v/>
      </c>
      <c r="I677" s="8">
        <f>IF(A677="","",Eingabe!$B$8-SUMIFS($F$2:F677,$D$2:D677,D677))</f>
        <v/>
      </c>
      <c r="J677" s="8">
        <f>IF(A677="","",IF(E677="",1E+99,IFERROR(VLOOKUP(E677,Eingabe!$D$5:$E$44,2,FALSE),Eingabe!$B$9)))</f>
        <v/>
      </c>
      <c r="K677" s="8">
        <f>IF(A677="","",IF(E677="",1E+99,J677-SUMIFS($F$2:F677,$E$2:E677,E677)))</f>
        <v/>
      </c>
      <c r="L677" s="5">
        <f>IF(A677="","",IF(OR(H677&lt;0,I677&lt;0,K677&lt;0),"UNMOEGLICH","OK"))</f>
        <v/>
      </c>
    </row>
    <row r="678">
      <c r="A678" s="7">
        <f>IF(ROW()-1&lt;=Eingabe!$B$4-Eingabe!$B$3+1,Eingabe!$B$3+ROW()-2,"")</f>
        <v/>
      </c>
      <c r="B678" s="5">
        <f>IF(A678="","",TEXT(A678,"yyyy-mm-dd"))</f>
        <v/>
      </c>
      <c r="C678" s="5">
        <f>IF(A678="","",TEXT(A678,"ddd"))</f>
        <v/>
      </c>
      <c r="D678" s="5">
        <f>IF(A678="","",TEXT(A678,"yyyy-mm"))</f>
        <v/>
      </c>
      <c r="E678" s="5">
        <f>IF(A678="","",IF(A678&lt;Eingabe!$B$5,"",INT((A678-Eingabe!$B$5)/(Eingabe!$B$6*7))+1))</f>
        <v/>
      </c>
      <c r="F678" s="8">
        <f>IF(A678="","",SUMPRODUCT((Eingabe!$B$16:$B$165&lt;&gt;"")*(Eingabe!$J$16:$J$165)*--(A678&gt;=Eingabe!$G$16:$G$165)*--(A678&lt;=Eingabe!$H$16:$H$165)*--(WEEKDAY(A678,2)&lt;=5)))</f>
        <v/>
      </c>
      <c r="G678" s="8">
        <f>IF(A678="","",SUM($F$2:F678))</f>
        <v/>
      </c>
      <c r="H678" s="8">
        <f>IF(A678="","",Eingabe!$B$7-G678)</f>
        <v/>
      </c>
      <c r="I678" s="8">
        <f>IF(A678="","",Eingabe!$B$8-SUMIFS($F$2:F678,$D$2:D678,D678))</f>
        <v/>
      </c>
      <c r="J678" s="8">
        <f>IF(A678="","",IF(E678="",1E+99,IFERROR(VLOOKUP(E678,Eingabe!$D$5:$E$44,2,FALSE),Eingabe!$B$9)))</f>
        <v/>
      </c>
      <c r="K678" s="8">
        <f>IF(A678="","",IF(E678="",1E+99,J678-SUMIFS($F$2:F678,$E$2:E678,E678)))</f>
        <v/>
      </c>
      <c r="L678" s="5">
        <f>IF(A678="","",IF(OR(H678&lt;0,I678&lt;0,K678&lt;0),"UNMOEGLICH","OK"))</f>
        <v/>
      </c>
    </row>
    <row r="679">
      <c r="A679" s="7">
        <f>IF(ROW()-1&lt;=Eingabe!$B$4-Eingabe!$B$3+1,Eingabe!$B$3+ROW()-2,"")</f>
        <v/>
      </c>
      <c r="B679" s="5">
        <f>IF(A679="","",TEXT(A679,"yyyy-mm-dd"))</f>
        <v/>
      </c>
      <c r="C679" s="5">
        <f>IF(A679="","",TEXT(A679,"ddd"))</f>
        <v/>
      </c>
      <c r="D679" s="5">
        <f>IF(A679="","",TEXT(A679,"yyyy-mm"))</f>
        <v/>
      </c>
      <c r="E679" s="5">
        <f>IF(A679="","",IF(A679&lt;Eingabe!$B$5,"",INT((A679-Eingabe!$B$5)/(Eingabe!$B$6*7))+1))</f>
        <v/>
      </c>
      <c r="F679" s="8">
        <f>IF(A679="","",SUMPRODUCT((Eingabe!$B$16:$B$165&lt;&gt;"")*(Eingabe!$J$16:$J$165)*--(A679&gt;=Eingabe!$G$16:$G$165)*--(A679&lt;=Eingabe!$H$16:$H$165)*--(WEEKDAY(A679,2)&lt;=5)))</f>
        <v/>
      </c>
      <c r="G679" s="8">
        <f>IF(A679="","",SUM($F$2:F679))</f>
        <v/>
      </c>
      <c r="H679" s="8">
        <f>IF(A679="","",Eingabe!$B$7-G679)</f>
        <v/>
      </c>
      <c r="I679" s="8">
        <f>IF(A679="","",Eingabe!$B$8-SUMIFS($F$2:F679,$D$2:D679,D679))</f>
        <v/>
      </c>
      <c r="J679" s="8">
        <f>IF(A679="","",IF(E679="",1E+99,IFERROR(VLOOKUP(E679,Eingabe!$D$5:$E$44,2,FALSE),Eingabe!$B$9)))</f>
        <v/>
      </c>
      <c r="K679" s="8">
        <f>IF(A679="","",IF(E679="",1E+99,J679-SUMIFS($F$2:F679,$E$2:E679,E679)))</f>
        <v/>
      </c>
      <c r="L679" s="5">
        <f>IF(A679="","",IF(OR(H679&lt;0,I679&lt;0,K679&lt;0),"UNMOEGLICH","OK"))</f>
        <v/>
      </c>
    </row>
    <row r="680">
      <c r="A680" s="7">
        <f>IF(ROW()-1&lt;=Eingabe!$B$4-Eingabe!$B$3+1,Eingabe!$B$3+ROW()-2,"")</f>
        <v/>
      </c>
      <c r="B680" s="5">
        <f>IF(A680="","",TEXT(A680,"yyyy-mm-dd"))</f>
        <v/>
      </c>
      <c r="C680" s="5">
        <f>IF(A680="","",TEXT(A680,"ddd"))</f>
        <v/>
      </c>
      <c r="D680" s="5">
        <f>IF(A680="","",TEXT(A680,"yyyy-mm"))</f>
        <v/>
      </c>
      <c r="E680" s="5">
        <f>IF(A680="","",IF(A680&lt;Eingabe!$B$5,"",INT((A680-Eingabe!$B$5)/(Eingabe!$B$6*7))+1))</f>
        <v/>
      </c>
      <c r="F680" s="8">
        <f>IF(A680="","",SUMPRODUCT((Eingabe!$B$16:$B$165&lt;&gt;"")*(Eingabe!$J$16:$J$165)*--(A680&gt;=Eingabe!$G$16:$G$165)*--(A680&lt;=Eingabe!$H$16:$H$165)*--(WEEKDAY(A680,2)&lt;=5)))</f>
        <v/>
      </c>
      <c r="G680" s="8">
        <f>IF(A680="","",SUM($F$2:F680))</f>
        <v/>
      </c>
      <c r="H680" s="8">
        <f>IF(A680="","",Eingabe!$B$7-G680)</f>
        <v/>
      </c>
      <c r="I680" s="8">
        <f>IF(A680="","",Eingabe!$B$8-SUMIFS($F$2:F680,$D$2:D680,D680))</f>
        <v/>
      </c>
      <c r="J680" s="8">
        <f>IF(A680="","",IF(E680="",1E+99,IFERROR(VLOOKUP(E680,Eingabe!$D$5:$E$44,2,FALSE),Eingabe!$B$9)))</f>
        <v/>
      </c>
      <c r="K680" s="8">
        <f>IF(A680="","",IF(E680="",1E+99,J680-SUMIFS($F$2:F680,$E$2:E680,E680)))</f>
        <v/>
      </c>
      <c r="L680" s="5">
        <f>IF(A680="","",IF(OR(H680&lt;0,I680&lt;0,K680&lt;0),"UNMOEGLICH","OK"))</f>
        <v/>
      </c>
    </row>
    <row r="681">
      <c r="A681" s="7">
        <f>IF(ROW()-1&lt;=Eingabe!$B$4-Eingabe!$B$3+1,Eingabe!$B$3+ROW()-2,"")</f>
        <v/>
      </c>
      <c r="B681" s="5">
        <f>IF(A681="","",TEXT(A681,"yyyy-mm-dd"))</f>
        <v/>
      </c>
      <c r="C681" s="5">
        <f>IF(A681="","",TEXT(A681,"ddd"))</f>
        <v/>
      </c>
      <c r="D681" s="5">
        <f>IF(A681="","",TEXT(A681,"yyyy-mm"))</f>
        <v/>
      </c>
      <c r="E681" s="5">
        <f>IF(A681="","",IF(A681&lt;Eingabe!$B$5,"",INT((A681-Eingabe!$B$5)/(Eingabe!$B$6*7))+1))</f>
        <v/>
      </c>
      <c r="F681" s="8">
        <f>IF(A681="","",SUMPRODUCT((Eingabe!$B$16:$B$165&lt;&gt;"")*(Eingabe!$J$16:$J$165)*--(A681&gt;=Eingabe!$G$16:$G$165)*--(A681&lt;=Eingabe!$H$16:$H$165)*--(WEEKDAY(A681,2)&lt;=5)))</f>
        <v/>
      </c>
      <c r="G681" s="8">
        <f>IF(A681="","",SUM($F$2:F681))</f>
        <v/>
      </c>
      <c r="H681" s="8">
        <f>IF(A681="","",Eingabe!$B$7-G681)</f>
        <v/>
      </c>
      <c r="I681" s="8">
        <f>IF(A681="","",Eingabe!$B$8-SUMIFS($F$2:F681,$D$2:D681,D681))</f>
        <v/>
      </c>
      <c r="J681" s="8">
        <f>IF(A681="","",IF(E681="",1E+99,IFERROR(VLOOKUP(E681,Eingabe!$D$5:$E$44,2,FALSE),Eingabe!$B$9)))</f>
        <v/>
      </c>
      <c r="K681" s="8">
        <f>IF(A681="","",IF(E681="",1E+99,J681-SUMIFS($F$2:F681,$E$2:E681,E681)))</f>
        <v/>
      </c>
      <c r="L681" s="5">
        <f>IF(A681="","",IF(OR(H681&lt;0,I681&lt;0,K681&lt;0),"UNMOEGLICH","OK"))</f>
        <v/>
      </c>
    </row>
    <row r="682">
      <c r="A682" s="7">
        <f>IF(ROW()-1&lt;=Eingabe!$B$4-Eingabe!$B$3+1,Eingabe!$B$3+ROW()-2,"")</f>
        <v/>
      </c>
      <c r="B682" s="5">
        <f>IF(A682="","",TEXT(A682,"yyyy-mm-dd"))</f>
        <v/>
      </c>
      <c r="C682" s="5">
        <f>IF(A682="","",TEXT(A682,"ddd"))</f>
        <v/>
      </c>
      <c r="D682" s="5">
        <f>IF(A682="","",TEXT(A682,"yyyy-mm"))</f>
        <v/>
      </c>
      <c r="E682" s="5">
        <f>IF(A682="","",IF(A682&lt;Eingabe!$B$5,"",INT((A682-Eingabe!$B$5)/(Eingabe!$B$6*7))+1))</f>
        <v/>
      </c>
      <c r="F682" s="8">
        <f>IF(A682="","",SUMPRODUCT((Eingabe!$B$16:$B$165&lt;&gt;"")*(Eingabe!$J$16:$J$165)*--(A682&gt;=Eingabe!$G$16:$G$165)*--(A682&lt;=Eingabe!$H$16:$H$165)*--(WEEKDAY(A682,2)&lt;=5)))</f>
        <v/>
      </c>
      <c r="G682" s="8">
        <f>IF(A682="","",SUM($F$2:F682))</f>
        <v/>
      </c>
      <c r="H682" s="8">
        <f>IF(A682="","",Eingabe!$B$7-G682)</f>
        <v/>
      </c>
      <c r="I682" s="8">
        <f>IF(A682="","",Eingabe!$B$8-SUMIFS($F$2:F682,$D$2:D682,D682))</f>
        <v/>
      </c>
      <c r="J682" s="8">
        <f>IF(A682="","",IF(E682="",1E+99,IFERROR(VLOOKUP(E682,Eingabe!$D$5:$E$44,2,FALSE),Eingabe!$B$9)))</f>
        <v/>
      </c>
      <c r="K682" s="8">
        <f>IF(A682="","",IF(E682="",1E+99,J682-SUMIFS($F$2:F682,$E$2:E682,E682)))</f>
        <v/>
      </c>
      <c r="L682" s="5">
        <f>IF(A682="","",IF(OR(H682&lt;0,I682&lt;0,K682&lt;0),"UNMOEGLICH","OK"))</f>
        <v/>
      </c>
    </row>
    <row r="683">
      <c r="A683" s="7">
        <f>IF(ROW()-1&lt;=Eingabe!$B$4-Eingabe!$B$3+1,Eingabe!$B$3+ROW()-2,"")</f>
        <v/>
      </c>
      <c r="B683" s="5">
        <f>IF(A683="","",TEXT(A683,"yyyy-mm-dd"))</f>
        <v/>
      </c>
      <c r="C683" s="5">
        <f>IF(A683="","",TEXT(A683,"ddd"))</f>
        <v/>
      </c>
      <c r="D683" s="5">
        <f>IF(A683="","",TEXT(A683,"yyyy-mm"))</f>
        <v/>
      </c>
      <c r="E683" s="5">
        <f>IF(A683="","",IF(A683&lt;Eingabe!$B$5,"",INT((A683-Eingabe!$B$5)/(Eingabe!$B$6*7))+1))</f>
        <v/>
      </c>
      <c r="F683" s="8">
        <f>IF(A683="","",SUMPRODUCT((Eingabe!$B$16:$B$165&lt;&gt;"")*(Eingabe!$J$16:$J$165)*--(A683&gt;=Eingabe!$G$16:$G$165)*--(A683&lt;=Eingabe!$H$16:$H$165)*--(WEEKDAY(A683,2)&lt;=5)))</f>
        <v/>
      </c>
      <c r="G683" s="8">
        <f>IF(A683="","",SUM($F$2:F683))</f>
        <v/>
      </c>
      <c r="H683" s="8">
        <f>IF(A683="","",Eingabe!$B$7-G683)</f>
        <v/>
      </c>
      <c r="I683" s="8">
        <f>IF(A683="","",Eingabe!$B$8-SUMIFS($F$2:F683,$D$2:D683,D683))</f>
        <v/>
      </c>
      <c r="J683" s="8">
        <f>IF(A683="","",IF(E683="",1E+99,IFERROR(VLOOKUP(E683,Eingabe!$D$5:$E$44,2,FALSE),Eingabe!$B$9)))</f>
        <v/>
      </c>
      <c r="K683" s="8">
        <f>IF(A683="","",IF(E683="",1E+99,J683-SUMIFS($F$2:F683,$E$2:E683,E683)))</f>
        <v/>
      </c>
      <c r="L683" s="5">
        <f>IF(A683="","",IF(OR(H683&lt;0,I683&lt;0,K683&lt;0),"UNMOEGLICH","OK"))</f>
        <v/>
      </c>
    </row>
    <row r="684">
      <c r="A684" s="7">
        <f>IF(ROW()-1&lt;=Eingabe!$B$4-Eingabe!$B$3+1,Eingabe!$B$3+ROW()-2,"")</f>
        <v/>
      </c>
      <c r="B684" s="5">
        <f>IF(A684="","",TEXT(A684,"yyyy-mm-dd"))</f>
        <v/>
      </c>
      <c r="C684" s="5">
        <f>IF(A684="","",TEXT(A684,"ddd"))</f>
        <v/>
      </c>
      <c r="D684" s="5">
        <f>IF(A684="","",TEXT(A684,"yyyy-mm"))</f>
        <v/>
      </c>
      <c r="E684" s="5">
        <f>IF(A684="","",IF(A684&lt;Eingabe!$B$5,"",INT((A684-Eingabe!$B$5)/(Eingabe!$B$6*7))+1))</f>
        <v/>
      </c>
      <c r="F684" s="8">
        <f>IF(A684="","",SUMPRODUCT((Eingabe!$B$16:$B$165&lt;&gt;"")*(Eingabe!$J$16:$J$165)*--(A684&gt;=Eingabe!$G$16:$G$165)*--(A684&lt;=Eingabe!$H$16:$H$165)*--(WEEKDAY(A684,2)&lt;=5)))</f>
        <v/>
      </c>
      <c r="G684" s="8">
        <f>IF(A684="","",SUM($F$2:F684))</f>
        <v/>
      </c>
      <c r="H684" s="8">
        <f>IF(A684="","",Eingabe!$B$7-G684)</f>
        <v/>
      </c>
      <c r="I684" s="8">
        <f>IF(A684="","",Eingabe!$B$8-SUMIFS($F$2:F684,$D$2:D684,D684))</f>
        <v/>
      </c>
      <c r="J684" s="8">
        <f>IF(A684="","",IF(E684="",1E+99,IFERROR(VLOOKUP(E684,Eingabe!$D$5:$E$44,2,FALSE),Eingabe!$B$9)))</f>
        <v/>
      </c>
      <c r="K684" s="8">
        <f>IF(A684="","",IF(E684="",1E+99,J684-SUMIFS($F$2:F684,$E$2:E684,E684)))</f>
        <v/>
      </c>
      <c r="L684" s="5">
        <f>IF(A684="","",IF(OR(H684&lt;0,I684&lt;0,K684&lt;0),"UNMOEGLICH","OK"))</f>
        <v/>
      </c>
    </row>
    <row r="685">
      <c r="A685" s="7">
        <f>IF(ROW()-1&lt;=Eingabe!$B$4-Eingabe!$B$3+1,Eingabe!$B$3+ROW()-2,"")</f>
        <v/>
      </c>
      <c r="B685" s="5">
        <f>IF(A685="","",TEXT(A685,"yyyy-mm-dd"))</f>
        <v/>
      </c>
      <c r="C685" s="5">
        <f>IF(A685="","",TEXT(A685,"ddd"))</f>
        <v/>
      </c>
      <c r="D685" s="5">
        <f>IF(A685="","",TEXT(A685,"yyyy-mm"))</f>
        <v/>
      </c>
      <c r="E685" s="5">
        <f>IF(A685="","",IF(A685&lt;Eingabe!$B$5,"",INT((A685-Eingabe!$B$5)/(Eingabe!$B$6*7))+1))</f>
        <v/>
      </c>
      <c r="F685" s="8">
        <f>IF(A685="","",SUMPRODUCT((Eingabe!$B$16:$B$165&lt;&gt;"")*(Eingabe!$J$16:$J$165)*--(A685&gt;=Eingabe!$G$16:$G$165)*--(A685&lt;=Eingabe!$H$16:$H$165)*--(WEEKDAY(A685,2)&lt;=5)))</f>
        <v/>
      </c>
      <c r="G685" s="8">
        <f>IF(A685="","",SUM($F$2:F685))</f>
        <v/>
      </c>
      <c r="H685" s="8">
        <f>IF(A685="","",Eingabe!$B$7-G685)</f>
        <v/>
      </c>
      <c r="I685" s="8">
        <f>IF(A685="","",Eingabe!$B$8-SUMIFS($F$2:F685,$D$2:D685,D685))</f>
        <v/>
      </c>
      <c r="J685" s="8">
        <f>IF(A685="","",IF(E685="",1E+99,IFERROR(VLOOKUP(E685,Eingabe!$D$5:$E$44,2,FALSE),Eingabe!$B$9)))</f>
        <v/>
      </c>
      <c r="K685" s="8">
        <f>IF(A685="","",IF(E685="",1E+99,J685-SUMIFS($F$2:F685,$E$2:E685,E685)))</f>
        <v/>
      </c>
      <c r="L685" s="5">
        <f>IF(A685="","",IF(OR(H685&lt;0,I685&lt;0,K685&lt;0),"UNMOEGLICH","OK"))</f>
        <v/>
      </c>
    </row>
    <row r="686">
      <c r="A686" s="7">
        <f>IF(ROW()-1&lt;=Eingabe!$B$4-Eingabe!$B$3+1,Eingabe!$B$3+ROW()-2,"")</f>
        <v/>
      </c>
      <c r="B686" s="5">
        <f>IF(A686="","",TEXT(A686,"yyyy-mm-dd"))</f>
        <v/>
      </c>
      <c r="C686" s="5">
        <f>IF(A686="","",TEXT(A686,"ddd"))</f>
        <v/>
      </c>
      <c r="D686" s="5">
        <f>IF(A686="","",TEXT(A686,"yyyy-mm"))</f>
        <v/>
      </c>
      <c r="E686" s="5">
        <f>IF(A686="","",IF(A686&lt;Eingabe!$B$5,"",INT((A686-Eingabe!$B$5)/(Eingabe!$B$6*7))+1))</f>
        <v/>
      </c>
      <c r="F686" s="8">
        <f>IF(A686="","",SUMPRODUCT((Eingabe!$B$16:$B$165&lt;&gt;"")*(Eingabe!$J$16:$J$165)*--(A686&gt;=Eingabe!$G$16:$G$165)*--(A686&lt;=Eingabe!$H$16:$H$165)*--(WEEKDAY(A686,2)&lt;=5)))</f>
        <v/>
      </c>
      <c r="G686" s="8">
        <f>IF(A686="","",SUM($F$2:F686))</f>
        <v/>
      </c>
      <c r="H686" s="8">
        <f>IF(A686="","",Eingabe!$B$7-G686)</f>
        <v/>
      </c>
      <c r="I686" s="8">
        <f>IF(A686="","",Eingabe!$B$8-SUMIFS($F$2:F686,$D$2:D686,D686))</f>
        <v/>
      </c>
      <c r="J686" s="8">
        <f>IF(A686="","",IF(E686="",1E+99,IFERROR(VLOOKUP(E686,Eingabe!$D$5:$E$44,2,FALSE),Eingabe!$B$9)))</f>
        <v/>
      </c>
      <c r="K686" s="8">
        <f>IF(A686="","",IF(E686="",1E+99,J686-SUMIFS($F$2:F686,$E$2:E686,E686)))</f>
        <v/>
      </c>
      <c r="L686" s="5">
        <f>IF(A686="","",IF(OR(H686&lt;0,I686&lt;0,K686&lt;0),"UNMOEGLICH","OK"))</f>
        <v/>
      </c>
    </row>
    <row r="687">
      <c r="A687" s="7">
        <f>IF(ROW()-1&lt;=Eingabe!$B$4-Eingabe!$B$3+1,Eingabe!$B$3+ROW()-2,"")</f>
        <v/>
      </c>
      <c r="B687" s="5">
        <f>IF(A687="","",TEXT(A687,"yyyy-mm-dd"))</f>
        <v/>
      </c>
      <c r="C687" s="5">
        <f>IF(A687="","",TEXT(A687,"ddd"))</f>
        <v/>
      </c>
      <c r="D687" s="5">
        <f>IF(A687="","",TEXT(A687,"yyyy-mm"))</f>
        <v/>
      </c>
      <c r="E687" s="5">
        <f>IF(A687="","",IF(A687&lt;Eingabe!$B$5,"",INT((A687-Eingabe!$B$5)/(Eingabe!$B$6*7))+1))</f>
        <v/>
      </c>
      <c r="F687" s="8">
        <f>IF(A687="","",SUMPRODUCT((Eingabe!$B$16:$B$165&lt;&gt;"")*(Eingabe!$J$16:$J$165)*--(A687&gt;=Eingabe!$G$16:$G$165)*--(A687&lt;=Eingabe!$H$16:$H$165)*--(WEEKDAY(A687,2)&lt;=5)))</f>
        <v/>
      </c>
      <c r="G687" s="8">
        <f>IF(A687="","",SUM($F$2:F687))</f>
        <v/>
      </c>
      <c r="H687" s="8">
        <f>IF(A687="","",Eingabe!$B$7-G687)</f>
        <v/>
      </c>
      <c r="I687" s="8">
        <f>IF(A687="","",Eingabe!$B$8-SUMIFS($F$2:F687,$D$2:D687,D687))</f>
        <v/>
      </c>
      <c r="J687" s="8">
        <f>IF(A687="","",IF(E687="",1E+99,IFERROR(VLOOKUP(E687,Eingabe!$D$5:$E$44,2,FALSE),Eingabe!$B$9)))</f>
        <v/>
      </c>
      <c r="K687" s="8">
        <f>IF(A687="","",IF(E687="",1E+99,J687-SUMIFS($F$2:F687,$E$2:E687,E687)))</f>
        <v/>
      </c>
      <c r="L687" s="5">
        <f>IF(A687="","",IF(OR(H687&lt;0,I687&lt;0,K687&lt;0),"UNMOEGLICH","OK"))</f>
        <v/>
      </c>
    </row>
    <row r="688">
      <c r="A688" s="7">
        <f>IF(ROW()-1&lt;=Eingabe!$B$4-Eingabe!$B$3+1,Eingabe!$B$3+ROW()-2,"")</f>
        <v/>
      </c>
      <c r="B688" s="5">
        <f>IF(A688="","",TEXT(A688,"yyyy-mm-dd"))</f>
        <v/>
      </c>
      <c r="C688" s="5">
        <f>IF(A688="","",TEXT(A688,"ddd"))</f>
        <v/>
      </c>
      <c r="D688" s="5">
        <f>IF(A688="","",TEXT(A688,"yyyy-mm"))</f>
        <v/>
      </c>
      <c r="E688" s="5">
        <f>IF(A688="","",IF(A688&lt;Eingabe!$B$5,"",INT((A688-Eingabe!$B$5)/(Eingabe!$B$6*7))+1))</f>
        <v/>
      </c>
      <c r="F688" s="8">
        <f>IF(A688="","",SUMPRODUCT((Eingabe!$B$16:$B$165&lt;&gt;"")*(Eingabe!$J$16:$J$165)*--(A688&gt;=Eingabe!$G$16:$G$165)*--(A688&lt;=Eingabe!$H$16:$H$165)*--(WEEKDAY(A688,2)&lt;=5)))</f>
        <v/>
      </c>
      <c r="G688" s="8">
        <f>IF(A688="","",SUM($F$2:F688))</f>
        <v/>
      </c>
      <c r="H688" s="8">
        <f>IF(A688="","",Eingabe!$B$7-G688)</f>
        <v/>
      </c>
      <c r="I688" s="8">
        <f>IF(A688="","",Eingabe!$B$8-SUMIFS($F$2:F688,$D$2:D688,D688))</f>
        <v/>
      </c>
      <c r="J688" s="8">
        <f>IF(A688="","",IF(E688="",1E+99,IFERROR(VLOOKUP(E688,Eingabe!$D$5:$E$44,2,FALSE),Eingabe!$B$9)))</f>
        <v/>
      </c>
      <c r="K688" s="8">
        <f>IF(A688="","",IF(E688="",1E+99,J688-SUMIFS($F$2:F688,$E$2:E688,E688)))</f>
        <v/>
      </c>
      <c r="L688" s="5">
        <f>IF(A688="","",IF(OR(H688&lt;0,I688&lt;0,K688&lt;0),"UNMOEGLICH","OK"))</f>
        <v/>
      </c>
    </row>
    <row r="689">
      <c r="A689" s="7">
        <f>IF(ROW()-1&lt;=Eingabe!$B$4-Eingabe!$B$3+1,Eingabe!$B$3+ROW()-2,"")</f>
        <v/>
      </c>
      <c r="B689" s="5">
        <f>IF(A689="","",TEXT(A689,"yyyy-mm-dd"))</f>
        <v/>
      </c>
      <c r="C689" s="5">
        <f>IF(A689="","",TEXT(A689,"ddd"))</f>
        <v/>
      </c>
      <c r="D689" s="5">
        <f>IF(A689="","",TEXT(A689,"yyyy-mm"))</f>
        <v/>
      </c>
      <c r="E689" s="5">
        <f>IF(A689="","",IF(A689&lt;Eingabe!$B$5,"",INT((A689-Eingabe!$B$5)/(Eingabe!$B$6*7))+1))</f>
        <v/>
      </c>
      <c r="F689" s="8">
        <f>IF(A689="","",SUMPRODUCT((Eingabe!$B$16:$B$165&lt;&gt;"")*(Eingabe!$J$16:$J$165)*--(A689&gt;=Eingabe!$G$16:$G$165)*--(A689&lt;=Eingabe!$H$16:$H$165)*--(WEEKDAY(A689,2)&lt;=5)))</f>
        <v/>
      </c>
      <c r="G689" s="8">
        <f>IF(A689="","",SUM($F$2:F689))</f>
        <v/>
      </c>
      <c r="H689" s="8">
        <f>IF(A689="","",Eingabe!$B$7-G689)</f>
        <v/>
      </c>
      <c r="I689" s="8">
        <f>IF(A689="","",Eingabe!$B$8-SUMIFS($F$2:F689,$D$2:D689,D689))</f>
        <v/>
      </c>
      <c r="J689" s="8">
        <f>IF(A689="","",IF(E689="",1E+99,IFERROR(VLOOKUP(E689,Eingabe!$D$5:$E$44,2,FALSE),Eingabe!$B$9)))</f>
        <v/>
      </c>
      <c r="K689" s="8">
        <f>IF(A689="","",IF(E689="",1E+99,J689-SUMIFS($F$2:F689,$E$2:E689,E689)))</f>
        <v/>
      </c>
      <c r="L689" s="5">
        <f>IF(A689="","",IF(OR(H689&lt;0,I689&lt;0,K689&lt;0),"UNMOEGLICH","OK"))</f>
        <v/>
      </c>
    </row>
    <row r="690">
      <c r="A690" s="7">
        <f>IF(ROW()-1&lt;=Eingabe!$B$4-Eingabe!$B$3+1,Eingabe!$B$3+ROW()-2,"")</f>
        <v/>
      </c>
      <c r="B690" s="5">
        <f>IF(A690="","",TEXT(A690,"yyyy-mm-dd"))</f>
        <v/>
      </c>
      <c r="C690" s="5">
        <f>IF(A690="","",TEXT(A690,"ddd"))</f>
        <v/>
      </c>
      <c r="D690" s="5">
        <f>IF(A690="","",TEXT(A690,"yyyy-mm"))</f>
        <v/>
      </c>
      <c r="E690" s="5">
        <f>IF(A690="","",IF(A690&lt;Eingabe!$B$5,"",INT((A690-Eingabe!$B$5)/(Eingabe!$B$6*7))+1))</f>
        <v/>
      </c>
      <c r="F690" s="8">
        <f>IF(A690="","",SUMPRODUCT((Eingabe!$B$16:$B$165&lt;&gt;"")*(Eingabe!$J$16:$J$165)*--(A690&gt;=Eingabe!$G$16:$G$165)*--(A690&lt;=Eingabe!$H$16:$H$165)*--(WEEKDAY(A690,2)&lt;=5)))</f>
        <v/>
      </c>
      <c r="G690" s="8">
        <f>IF(A690="","",SUM($F$2:F690))</f>
        <v/>
      </c>
      <c r="H690" s="8">
        <f>IF(A690="","",Eingabe!$B$7-G690)</f>
        <v/>
      </c>
      <c r="I690" s="8">
        <f>IF(A690="","",Eingabe!$B$8-SUMIFS($F$2:F690,$D$2:D690,D690))</f>
        <v/>
      </c>
      <c r="J690" s="8">
        <f>IF(A690="","",IF(E690="",1E+99,IFERROR(VLOOKUP(E690,Eingabe!$D$5:$E$44,2,FALSE),Eingabe!$B$9)))</f>
        <v/>
      </c>
      <c r="K690" s="8">
        <f>IF(A690="","",IF(E690="",1E+99,J690-SUMIFS($F$2:F690,$E$2:E690,E690)))</f>
        <v/>
      </c>
      <c r="L690" s="5">
        <f>IF(A690="","",IF(OR(H690&lt;0,I690&lt;0,K690&lt;0),"UNMOEGLICH","OK"))</f>
        <v/>
      </c>
    </row>
    <row r="691">
      <c r="A691" s="7">
        <f>IF(ROW()-1&lt;=Eingabe!$B$4-Eingabe!$B$3+1,Eingabe!$B$3+ROW()-2,"")</f>
        <v/>
      </c>
      <c r="B691" s="5">
        <f>IF(A691="","",TEXT(A691,"yyyy-mm-dd"))</f>
        <v/>
      </c>
      <c r="C691" s="5">
        <f>IF(A691="","",TEXT(A691,"ddd"))</f>
        <v/>
      </c>
      <c r="D691" s="5">
        <f>IF(A691="","",TEXT(A691,"yyyy-mm"))</f>
        <v/>
      </c>
      <c r="E691" s="5">
        <f>IF(A691="","",IF(A691&lt;Eingabe!$B$5,"",INT((A691-Eingabe!$B$5)/(Eingabe!$B$6*7))+1))</f>
        <v/>
      </c>
      <c r="F691" s="8">
        <f>IF(A691="","",SUMPRODUCT((Eingabe!$B$16:$B$165&lt;&gt;"")*(Eingabe!$J$16:$J$165)*--(A691&gt;=Eingabe!$G$16:$G$165)*--(A691&lt;=Eingabe!$H$16:$H$165)*--(WEEKDAY(A691,2)&lt;=5)))</f>
        <v/>
      </c>
      <c r="G691" s="8">
        <f>IF(A691="","",SUM($F$2:F691))</f>
        <v/>
      </c>
      <c r="H691" s="8">
        <f>IF(A691="","",Eingabe!$B$7-G691)</f>
        <v/>
      </c>
      <c r="I691" s="8">
        <f>IF(A691="","",Eingabe!$B$8-SUMIFS($F$2:F691,$D$2:D691,D691))</f>
        <v/>
      </c>
      <c r="J691" s="8">
        <f>IF(A691="","",IF(E691="",1E+99,IFERROR(VLOOKUP(E691,Eingabe!$D$5:$E$44,2,FALSE),Eingabe!$B$9)))</f>
        <v/>
      </c>
      <c r="K691" s="8">
        <f>IF(A691="","",IF(E691="",1E+99,J691-SUMIFS($F$2:F691,$E$2:E691,E691)))</f>
        <v/>
      </c>
      <c r="L691" s="5">
        <f>IF(A691="","",IF(OR(H691&lt;0,I691&lt;0,K691&lt;0),"UNMOEGLICH","OK"))</f>
        <v/>
      </c>
    </row>
    <row r="692">
      <c r="A692" s="7">
        <f>IF(ROW()-1&lt;=Eingabe!$B$4-Eingabe!$B$3+1,Eingabe!$B$3+ROW()-2,"")</f>
        <v/>
      </c>
      <c r="B692" s="5">
        <f>IF(A692="","",TEXT(A692,"yyyy-mm-dd"))</f>
        <v/>
      </c>
      <c r="C692" s="5">
        <f>IF(A692="","",TEXT(A692,"ddd"))</f>
        <v/>
      </c>
      <c r="D692" s="5">
        <f>IF(A692="","",TEXT(A692,"yyyy-mm"))</f>
        <v/>
      </c>
      <c r="E692" s="5">
        <f>IF(A692="","",IF(A692&lt;Eingabe!$B$5,"",INT((A692-Eingabe!$B$5)/(Eingabe!$B$6*7))+1))</f>
        <v/>
      </c>
      <c r="F692" s="8">
        <f>IF(A692="","",SUMPRODUCT((Eingabe!$B$16:$B$165&lt;&gt;"")*(Eingabe!$J$16:$J$165)*--(A692&gt;=Eingabe!$G$16:$G$165)*--(A692&lt;=Eingabe!$H$16:$H$165)*--(WEEKDAY(A692,2)&lt;=5)))</f>
        <v/>
      </c>
      <c r="G692" s="8">
        <f>IF(A692="","",SUM($F$2:F692))</f>
        <v/>
      </c>
      <c r="H692" s="8">
        <f>IF(A692="","",Eingabe!$B$7-G692)</f>
        <v/>
      </c>
      <c r="I692" s="8">
        <f>IF(A692="","",Eingabe!$B$8-SUMIFS($F$2:F692,$D$2:D692,D692))</f>
        <v/>
      </c>
      <c r="J692" s="8">
        <f>IF(A692="","",IF(E692="",1E+99,IFERROR(VLOOKUP(E692,Eingabe!$D$5:$E$44,2,FALSE),Eingabe!$B$9)))</f>
        <v/>
      </c>
      <c r="K692" s="8">
        <f>IF(A692="","",IF(E692="",1E+99,J692-SUMIFS($F$2:F692,$E$2:E692,E692)))</f>
        <v/>
      </c>
      <c r="L692" s="5">
        <f>IF(A692="","",IF(OR(H692&lt;0,I692&lt;0,K692&lt;0),"UNMOEGLICH","OK"))</f>
        <v/>
      </c>
    </row>
    <row r="693">
      <c r="A693" s="7">
        <f>IF(ROW()-1&lt;=Eingabe!$B$4-Eingabe!$B$3+1,Eingabe!$B$3+ROW()-2,"")</f>
        <v/>
      </c>
      <c r="B693" s="5">
        <f>IF(A693="","",TEXT(A693,"yyyy-mm-dd"))</f>
        <v/>
      </c>
      <c r="C693" s="5">
        <f>IF(A693="","",TEXT(A693,"ddd"))</f>
        <v/>
      </c>
      <c r="D693" s="5">
        <f>IF(A693="","",TEXT(A693,"yyyy-mm"))</f>
        <v/>
      </c>
      <c r="E693" s="5">
        <f>IF(A693="","",IF(A693&lt;Eingabe!$B$5,"",INT((A693-Eingabe!$B$5)/(Eingabe!$B$6*7))+1))</f>
        <v/>
      </c>
      <c r="F693" s="8">
        <f>IF(A693="","",SUMPRODUCT((Eingabe!$B$16:$B$165&lt;&gt;"")*(Eingabe!$J$16:$J$165)*--(A693&gt;=Eingabe!$G$16:$G$165)*--(A693&lt;=Eingabe!$H$16:$H$165)*--(WEEKDAY(A693,2)&lt;=5)))</f>
        <v/>
      </c>
      <c r="G693" s="8">
        <f>IF(A693="","",SUM($F$2:F693))</f>
        <v/>
      </c>
      <c r="H693" s="8">
        <f>IF(A693="","",Eingabe!$B$7-G693)</f>
        <v/>
      </c>
      <c r="I693" s="8">
        <f>IF(A693="","",Eingabe!$B$8-SUMIFS($F$2:F693,$D$2:D693,D693))</f>
        <v/>
      </c>
      <c r="J693" s="8">
        <f>IF(A693="","",IF(E693="",1E+99,IFERROR(VLOOKUP(E693,Eingabe!$D$5:$E$44,2,FALSE),Eingabe!$B$9)))</f>
        <v/>
      </c>
      <c r="K693" s="8">
        <f>IF(A693="","",IF(E693="",1E+99,J693-SUMIFS($F$2:F693,$E$2:E693,E693)))</f>
        <v/>
      </c>
      <c r="L693" s="5">
        <f>IF(A693="","",IF(OR(H693&lt;0,I693&lt;0,K693&lt;0),"UNMOEGLICH","OK"))</f>
        <v/>
      </c>
    </row>
    <row r="694">
      <c r="A694" s="7">
        <f>IF(ROW()-1&lt;=Eingabe!$B$4-Eingabe!$B$3+1,Eingabe!$B$3+ROW()-2,"")</f>
        <v/>
      </c>
      <c r="B694" s="5">
        <f>IF(A694="","",TEXT(A694,"yyyy-mm-dd"))</f>
        <v/>
      </c>
      <c r="C694" s="5">
        <f>IF(A694="","",TEXT(A694,"ddd"))</f>
        <v/>
      </c>
      <c r="D694" s="5">
        <f>IF(A694="","",TEXT(A694,"yyyy-mm"))</f>
        <v/>
      </c>
      <c r="E694" s="5">
        <f>IF(A694="","",IF(A694&lt;Eingabe!$B$5,"",INT((A694-Eingabe!$B$5)/(Eingabe!$B$6*7))+1))</f>
        <v/>
      </c>
      <c r="F694" s="8">
        <f>IF(A694="","",SUMPRODUCT((Eingabe!$B$16:$B$165&lt;&gt;"")*(Eingabe!$J$16:$J$165)*--(A694&gt;=Eingabe!$G$16:$G$165)*--(A694&lt;=Eingabe!$H$16:$H$165)*--(WEEKDAY(A694,2)&lt;=5)))</f>
        <v/>
      </c>
      <c r="G694" s="8">
        <f>IF(A694="","",SUM($F$2:F694))</f>
        <v/>
      </c>
      <c r="H694" s="8">
        <f>IF(A694="","",Eingabe!$B$7-G694)</f>
        <v/>
      </c>
      <c r="I694" s="8">
        <f>IF(A694="","",Eingabe!$B$8-SUMIFS($F$2:F694,$D$2:D694,D694))</f>
        <v/>
      </c>
      <c r="J694" s="8">
        <f>IF(A694="","",IF(E694="",1E+99,IFERROR(VLOOKUP(E694,Eingabe!$D$5:$E$44,2,FALSE),Eingabe!$B$9)))</f>
        <v/>
      </c>
      <c r="K694" s="8">
        <f>IF(A694="","",IF(E694="",1E+99,J694-SUMIFS($F$2:F694,$E$2:E694,E694)))</f>
        <v/>
      </c>
      <c r="L694" s="5">
        <f>IF(A694="","",IF(OR(H694&lt;0,I694&lt;0,K694&lt;0),"UNMOEGLICH","OK"))</f>
        <v/>
      </c>
    </row>
    <row r="695">
      <c r="A695" s="7">
        <f>IF(ROW()-1&lt;=Eingabe!$B$4-Eingabe!$B$3+1,Eingabe!$B$3+ROW()-2,"")</f>
        <v/>
      </c>
      <c r="B695" s="5">
        <f>IF(A695="","",TEXT(A695,"yyyy-mm-dd"))</f>
        <v/>
      </c>
      <c r="C695" s="5">
        <f>IF(A695="","",TEXT(A695,"ddd"))</f>
        <v/>
      </c>
      <c r="D695" s="5">
        <f>IF(A695="","",TEXT(A695,"yyyy-mm"))</f>
        <v/>
      </c>
      <c r="E695" s="5">
        <f>IF(A695="","",IF(A695&lt;Eingabe!$B$5,"",INT((A695-Eingabe!$B$5)/(Eingabe!$B$6*7))+1))</f>
        <v/>
      </c>
      <c r="F695" s="8">
        <f>IF(A695="","",SUMPRODUCT((Eingabe!$B$16:$B$165&lt;&gt;"")*(Eingabe!$J$16:$J$165)*--(A695&gt;=Eingabe!$G$16:$G$165)*--(A695&lt;=Eingabe!$H$16:$H$165)*--(WEEKDAY(A695,2)&lt;=5)))</f>
        <v/>
      </c>
      <c r="G695" s="8">
        <f>IF(A695="","",SUM($F$2:F695))</f>
        <v/>
      </c>
      <c r="H695" s="8">
        <f>IF(A695="","",Eingabe!$B$7-G695)</f>
        <v/>
      </c>
      <c r="I695" s="8">
        <f>IF(A695="","",Eingabe!$B$8-SUMIFS($F$2:F695,$D$2:D695,D695))</f>
        <v/>
      </c>
      <c r="J695" s="8">
        <f>IF(A695="","",IF(E695="",1E+99,IFERROR(VLOOKUP(E695,Eingabe!$D$5:$E$44,2,FALSE),Eingabe!$B$9)))</f>
        <v/>
      </c>
      <c r="K695" s="8">
        <f>IF(A695="","",IF(E695="",1E+99,J695-SUMIFS($F$2:F695,$E$2:E695,E695)))</f>
        <v/>
      </c>
      <c r="L695" s="5">
        <f>IF(A695="","",IF(OR(H695&lt;0,I695&lt;0,K695&lt;0),"UNMOEGLICH","OK"))</f>
        <v/>
      </c>
    </row>
    <row r="696">
      <c r="A696" s="7">
        <f>IF(ROW()-1&lt;=Eingabe!$B$4-Eingabe!$B$3+1,Eingabe!$B$3+ROW()-2,"")</f>
        <v/>
      </c>
      <c r="B696" s="5">
        <f>IF(A696="","",TEXT(A696,"yyyy-mm-dd"))</f>
        <v/>
      </c>
      <c r="C696" s="5">
        <f>IF(A696="","",TEXT(A696,"ddd"))</f>
        <v/>
      </c>
      <c r="D696" s="5">
        <f>IF(A696="","",TEXT(A696,"yyyy-mm"))</f>
        <v/>
      </c>
      <c r="E696" s="5">
        <f>IF(A696="","",IF(A696&lt;Eingabe!$B$5,"",INT((A696-Eingabe!$B$5)/(Eingabe!$B$6*7))+1))</f>
        <v/>
      </c>
      <c r="F696" s="8">
        <f>IF(A696="","",SUMPRODUCT((Eingabe!$B$16:$B$165&lt;&gt;"")*(Eingabe!$J$16:$J$165)*--(A696&gt;=Eingabe!$G$16:$G$165)*--(A696&lt;=Eingabe!$H$16:$H$165)*--(WEEKDAY(A696,2)&lt;=5)))</f>
        <v/>
      </c>
      <c r="G696" s="8">
        <f>IF(A696="","",SUM($F$2:F696))</f>
        <v/>
      </c>
      <c r="H696" s="8">
        <f>IF(A696="","",Eingabe!$B$7-G696)</f>
        <v/>
      </c>
      <c r="I696" s="8">
        <f>IF(A696="","",Eingabe!$B$8-SUMIFS($F$2:F696,$D$2:D696,D696))</f>
        <v/>
      </c>
      <c r="J696" s="8">
        <f>IF(A696="","",IF(E696="",1E+99,IFERROR(VLOOKUP(E696,Eingabe!$D$5:$E$44,2,FALSE),Eingabe!$B$9)))</f>
        <v/>
      </c>
      <c r="K696" s="8">
        <f>IF(A696="","",IF(E696="",1E+99,J696-SUMIFS($F$2:F696,$E$2:E696,E696)))</f>
        <v/>
      </c>
      <c r="L696" s="5">
        <f>IF(A696="","",IF(OR(H696&lt;0,I696&lt;0,K696&lt;0),"UNMOEGLICH","OK"))</f>
        <v/>
      </c>
    </row>
    <row r="697">
      <c r="A697" s="7">
        <f>IF(ROW()-1&lt;=Eingabe!$B$4-Eingabe!$B$3+1,Eingabe!$B$3+ROW()-2,"")</f>
        <v/>
      </c>
      <c r="B697" s="5">
        <f>IF(A697="","",TEXT(A697,"yyyy-mm-dd"))</f>
        <v/>
      </c>
      <c r="C697" s="5">
        <f>IF(A697="","",TEXT(A697,"ddd"))</f>
        <v/>
      </c>
      <c r="D697" s="5">
        <f>IF(A697="","",TEXT(A697,"yyyy-mm"))</f>
        <v/>
      </c>
      <c r="E697" s="5">
        <f>IF(A697="","",IF(A697&lt;Eingabe!$B$5,"",INT((A697-Eingabe!$B$5)/(Eingabe!$B$6*7))+1))</f>
        <v/>
      </c>
      <c r="F697" s="8">
        <f>IF(A697="","",SUMPRODUCT((Eingabe!$B$16:$B$165&lt;&gt;"")*(Eingabe!$J$16:$J$165)*--(A697&gt;=Eingabe!$G$16:$G$165)*--(A697&lt;=Eingabe!$H$16:$H$165)*--(WEEKDAY(A697,2)&lt;=5)))</f>
        <v/>
      </c>
      <c r="G697" s="8">
        <f>IF(A697="","",SUM($F$2:F697))</f>
        <v/>
      </c>
      <c r="H697" s="8">
        <f>IF(A697="","",Eingabe!$B$7-G697)</f>
        <v/>
      </c>
      <c r="I697" s="8">
        <f>IF(A697="","",Eingabe!$B$8-SUMIFS($F$2:F697,$D$2:D697,D697))</f>
        <v/>
      </c>
      <c r="J697" s="8">
        <f>IF(A697="","",IF(E697="",1E+99,IFERROR(VLOOKUP(E697,Eingabe!$D$5:$E$44,2,FALSE),Eingabe!$B$9)))</f>
        <v/>
      </c>
      <c r="K697" s="8">
        <f>IF(A697="","",IF(E697="",1E+99,J697-SUMIFS($F$2:F697,$E$2:E697,E697)))</f>
        <v/>
      </c>
      <c r="L697" s="5">
        <f>IF(A697="","",IF(OR(H697&lt;0,I697&lt;0,K697&lt;0),"UNMOEGLICH","OK"))</f>
        <v/>
      </c>
    </row>
    <row r="698">
      <c r="A698" s="7">
        <f>IF(ROW()-1&lt;=Eingabe!$B$4-Eingabe!$B$3+1,Eingabe!$B$3+ROW()-2,"")</f>
        <v/>
      </c>
      <c r="B698" s="5">
        <f>IF(A698="","",TEXT(A698,"yyyy-mm-dd"))</f>
        <v/>
      </c>
      <c r="C698" s="5">
        <f>IF(A698="","",TEXT(A698,"ddd"))</f>
        <v/>
      </c>
      <c r="D698" s="5">
        <f>IF(A698="","",TEXT(A698,"yyyy-mm"))</f>
        <v/>
      </c>
      <c r="E698" s="5">
        <f>IF(A698="","",IF(A698&lt;Eingabe!$B$5,"",INT((A698-Eingabe!$B$5)/(Eingabe!$B$6*7))+1))</f>
        <v/>
      </c>
      <c r="F698" s="8">
        <f>IF(A698="","",SUMPRODUCT((Eingabe!$B$16:$B$165&lt;&gt;"")*(Eingabe!$J$16:$J$165)*--(A698&gt;=Eingabe!$G$16:$G$165)*--(A698&lt;=Eingabe!$H$16:$H$165)*--(WEEKDAY(A698,2)&lt;=5)))</f>
        <v/>
      </c>
      <c r="G698" s="8">
        <f>IF(A698="","",SUM($F$2:F698))</f>
        <v/>
      </c>
      <c r="H698" s="8">
        <f>IF(A698="","",Eingabe!$B$7-G698)</f>
        <v/>
      </c>
      <c r="I698" s="8">
        <f>IF(A698="","",Eingabe!$B$8-SUMIFS($F$2:F698,$D$2:D698,D698))</f>
        <v/>
      </c>
      <c r="J698" s="8">
        <f>IF(A698="","",IF(E698="",1E+99,IFERROR(VLOOKUP(E698,Eingabe!$D$5:$E$44,2,FALSE),Eingabe!$B$9)))</f>
        <v/>
      </c>
      <c r="K698" s="8">
        <f>IF(A698="","",IF(E698="",1E+99,J698-SUMIFS($F$2:F698,$E$2:E698,E698)))</f>
        <v/>
      </c>
      <c r="L698" s="5">
        <f>IF(A698="","",IF(OR(H698&lt;0,I698&lt;0,K698&lt;0),"UNMOEGLICH","OK"))</f>
        <v/>
      </c>
    </row>
    <row r="699">
      <c r="A699" s="7">
        <f>IF(ROW()-1&lt;=Eingabe!$B$4-Eingabe!$B$3+1,Eingabe!$B$3+ROW()-2,"")</f>
        <v/>
      </c>
      <c r="B699" s="5">
        <f>IF(A699="","",TEXT(A699,"yyyy-mm-dd"))</f>
        <v/>
      </c>
      <c r="C699" s="5">
        <f>IF(A699="","",TEXT(A699,"ddd"))</f>
        <v/>
      </c>
      <c r="D699" s="5">
        <f>IF(A699="","",TEXT(A699,"yyyy-mm"))</f>
        <v/>
      </c>
      <c r="E699" s="5">
        <f>IF(A699="","",IF(A699&lt;Eingabe!$B$5,"",INT((A699-Eingabe!$B$5)/(Eingabe!$B$6*7))+1))</f>
        <v/>
      </c>
      <c r="F699" s="8">
        <f>IF(A699="","",SUMPRODUCT((Eingabe!$B$16:$B$165&lt;&gt;"")*(Eingabe!$J$16:$J$165)*--(A699&gt;=Eingabe!$G$16:$G$165)*--(A699&lt;=Eingabe!$H$16:$H$165)*--(WEEKDAY(A699,2)&lt;=5)))</f>
        <v/>
      </c>
      <c r="G699" s="8">
        <f>IF(A699="","",SUM($F$2:F699))</f>
        <v/>
      </c>
      <c r="H699" s="8">
        <f>IF(A699="","",Eingabe!$B$7-G699)</f>
        <v/>
      </c>
      <c r="I699" s="8">
        <f>IF(A699="","",Eingabe!$B$8-SUMIFS($F$2:F699,$D$2:D699,D699))</f>
        <v/>
      </c>
      <c r="J699" s="8">
        <f>IF(A699="","",IF(E699="",1E+99,IFERROR(VLOOKUP(E699,Eingabe!$D$5:$E$44,2,FALSE),Eingabe!$B$9)))</f>
        <v/>
      </c>
      <c r="K699" s="8">
        <f>IF(A699="","",IF(E699="",1E+99,J699-SUMIFS($F$2:F699,$E$2:E699,E699)))</f>
        <v/>
      </c>
      <c r="L699" s="5">
        <f>IF(A699="","",IF(OR(H699&lt;0,I699&lt;0,K699&lt;0),"UNMOEGLICH","OK"))</f>
        <v/>
      </c>
    </row>
    <row r="700">
      <c r="A700" s="7">
        <f>IF(ROW()-1&lt;=Eingabe!$B$4-Eingabe!$B$3+1,Eingabe!$B$3+ROW()-2,"")</f>
        <v/>
      </c>
      <c r="B700" s="5">
        <f>IF(A700="","",TEXT(A700,"yyyy-mm-dd"))</f>
        <v/>
      </c>
      <c r="C700" s="5">
        <f>IF(A700="","",TEXT(A700,"ddd"))</f>
        <v/>
      </c>
      <c r="D700" s="5">
        <f>IF(A700="","",TEXT(A700,"yyyy-mm"))</f>
        <v/>
      </c>
      <c r="E700" s="5">
        <f>IF(A700="","",IF(A700&lt;Eingabe!$B$5,"",INT((A700-Eingabe!$B$5)/(Eingabe!$B$6*7))+1))</f>
        <v/>
      </c>
      <c r="F700" s="8">
        <f>IF(A700="","",SUMPRODUCT((Eingabe!$B$16:$B$165&lt;&gt;"")*(Eingabe!$J$16:$J$165)*--(A700&gt;=Eingabe!$G$16:$G$165)*--(A700&lt;=Eingabe!$H$16:$H$165)*--(WEEKDAY(A700,2)&lt;=5)))</f>
        <v/>
      </c>
      <c r="G700" s="8">
        <f>IF(A700="","",SUM($F$2:F700))</f>
        <v/>
      </c>
      <c r="H700" s="8">
        <f>IF(A700="","",Eingabe!$B$7-G700)</f>
        <v/>
      </c>
      <c r="I700" s="8">
        <f>IF(A700="","",Eingabe!$B$8-SUMIFS($F$2:F700,$D$2:D700,D700))</f>
        <v/>
      </c>
      <c r="J700" s="8">
        <f>IF(A700="","",IF(E700="",1E+99,IFERROR(VLOOKUP(E700,Eingabe!$D$5:$E$44,2,FALSE),Eingabe!$B$9)))</f>
        <v/>
      </c>
      <c r="K700" s="8">
        <f>IF(A700="","",IF(E700="",1E+99,J700-SUMIFS($F$2:F700,$E$2:E700,E700)))</f>
        <v/>
      </c>
      <c r="L700" s="5">
        <f>IF(A700="","",IF(OR(H700&lt;0,I700&lt;0,K700&lt;0),"UNMOEGLICH","OK"))</f>
        <v/>
      </c>
    </row>
    <row r="701">
      <c r="A701" s="7">
        <f>IF(ROW()-1&lt;=Eingabe!$B$4-Eingabe!$B$3+1,Eingabe!$B$3+ROW()-2,"")</f>
        <v/>
      </c>
      <c r="B701" s="5">
        <f>IF(A701="","",TEXT(A701,"yyyy-mm-dd"))</f>
        <v/>
      </c>
      <c r="C701" s="5">
        <f>IF(A701="","",TEXT(A701,"ddd"))</f>
        <v/>
      </c>
      <c r="D701" s="5">
        <f>IF(A701="","",TEXT(A701,"yyyy-mm"))</f>
        <v/>
      </c>
      <c r="E701" s="5">
        <f>IF(A701="","",IF(A701&lt;Eingabe!$B$5,"",INT((A701-Eingabe!$B$5)/(Eingabe!$B$6*7))+1))</f>
        <v/>
      </c>
      <c r="F701" s="8">
        <f>IF(A701="","",SUMPRODUCT((Eingabe!$B$16:$B$165&lt;&gt;"")*(Eingabe!$J$16:$J$165)*--(A701&gt;=Eingabe!$G$16:$G$165)*--(A701&lt;=Eingabe!$H$16:$H$165)*--(WEEKDAY(A701,2)&lt;=5)))</f>
        <v/>
      </c>
      <c r="G701" s="8">
        <f>IF(A701="","",SUM($F$2:F701))</f>
        <v/>
      </c>
      <c r="H701" s="8">
        <f>IF(A701="","",Eingabe!$B$7-G701)</f>
        <v/>
      </c>
      <c r="I701" s="8">
        <f>IF(A701="","",Eingabe!$B$8-SUMIFS($F$2:F701,$D$2:D701,D701))</f>
        <v/>
      </c>
      <c r="J701" s="8">
        <f>IF(A701="","",IF(E701="",1E+99,IFERROR(VLOOKUP(E701,Eingabe!$D$5:$E$44,2,FALSE),Eingabe!$B$9)))</f>
        <v/>
      </c>
      <c r="K701" s="8">
        <f>IF(A701="","",IF(E701="",1E+99,J701-SUMIFS($F$2:F701,$E$2:E701,E701)))</f>
        <v/>
      </c>
      <c r="L701" s="5">
        <f>IF(A701="","",IF(OR(H701&lt;0,I701&lt;0,K701&lt;0),"UNMOEGLICH","OK"))</f>
        <v/>
      </c>
    </row>
    <row r="702">
      <c r="A702" s="7">
        <f>IF(ROW()-1&lt;=Eingabe!$B$4-Eingabe!$B$3+1,Eingabe!$B$3+ROW()-2,"")</f>
        <v/>
      </c>
      <c r="B702" s="5">
        <f>IF(A702="","",TEXT(A702,"yyyy-mm-dd"))</f>
        <v/>
      </c>
      <c r="C702" s="5">
        <f>IF(A702="","",TEXT(A702,"ddd"))</f>
        <v/>
      </c>
      <c r="D702" s="5">
        <f>IF(A702="","",TEXT(A702,"yyyy-mm"))</f>
        <v/>
      </c>
      <c r="E702" s="5">
        <f>IF(A702="","",IF(A702&lt;Eingabe!$B$5,"",INT((A702-Eingabe!$B$5)/(Eingabe!$B$6*7))+1))</f>
        <v/>
      </c>
      <c r="F702" s="8">
        <f>IF(A702="","",SUMPRODUCT((Eingabe!$B$16:$B$165&lt;&gt;"")*(Eingabe!$J$16:$J$165)*--(A702&gt;=Eingabe!$G$16:$G$165)*--(A702&lt;=Eingabe!$H$16:$H$165)*--(WEEKDAY(A702,2)&lt;=5)))</f>
        <v/>
      </c>
      <c r="G702" s="8">
        <f>IF(A702="","",SUM($F$2:F702))</f>
        <v/>
      </c>
      <c r="H702" s="8">
        <f>IF(A702="","",Eingabe!$B$7-G702)</f>
        <v/>
      </c>
      <c r="I702" s="8">
        <f>IF(A702="","",Eingabe!$B$8-SUMIFS($F$2:F702,$D$2:D702,D702))</f>
        <v/>
      </c>
      <c r="J702" s="8">
        <f>IF(A702="","",IF(E702="",1E+99,IFERROR(VLOOKUP(E702,Eingabe!$D$5:$E$44,2,FALSE),Eingabe!$B$9)))</f>
        <v/>
      </c>
      <c r="K702" s="8">
        <f>IF(A702="","",IF(E702="",1E+99,J702-SUMIFS($F$2:F702,$E$2:E702,E702)))</f>
        <v/>
      </c>
      <c r="L702" s="5">
        <f>IF(A702="","",IF(OR(H702&lt;0,I702&lt;0,K702&lt;0),"UNMOEGLICH","OK"))</f>
        <v/>
      </c>
    </row>
    <row r="703">
      <c r="A703" s="7">
        <f>IF(ROW()-1&lt;=Eingabe!$B$4-Eingabe!$B$3+1,Eingabe!$B$3+ROW()-2,"")</f>
        <v/>
      </c>
      <c r="B703" s="5">
        <f>IF(A703="","",TEXT(A703,"yyyy-mm-dd"))</f>
        <v/>
      </c>
      <c r="C703" s="5">
        <f>IF(A703="","",TEXT(A703,"ddd"))</f>
        <v/>
      </c>
      <c r="D703" s="5">
        <f>IF(A703="","",TEXT(A703,"yyyy-mm"))</f>
        <v/>
      </c>
      <c r="E703" s="5">
        <f>IF(A703="","",IF(A703&lt;Eingabe!$B$5,"",INT((A703-Eingabe!$B$5)/(Eingabe!$B$6*7))+1))</f>
        <v/>
      </c>
      <c r="F703" s="8">
        <f>IF(A703="","",SUMPRODUCT((Eingabe!$B$16:$B$165&lt;&gt;"")*(Eingabe!$J$16:$J$165)*--(A703&gt;=Eingabe!$G$16:$G$165)*--(A703&lt;=Eingabe!$H$16:$H$165)*--(WEEKDAY(A703,2)&lt;=5)))</f>
        <v/>
      </c>
      <c r="G703" s="8">
        <f>IF(A703="","",SUM($F$2:F703))</f>
        <v/>
      </c>
      <c r="H703" s="8">
        <f>IF(A703="","",Eingabe!$B$7-G703)</f>
        <v/>
      </c>
      <c r="I703" s="8">
        <f>IF(A703="","",Eingabe!$B$8-SUMIFS($F$2:F703,$D$2:D703,D703))</f>
        <v/>
      </c>
      <c r="J703" s="8">
        <f>IF(A703="","",IF(E703="",1E+99,IFERROR(VLOOKUP(E703,Eingabe!$D$5:$E$44,2,FALSE),Eingabe!$B$9)))</f>
        <v/>
      </c>
      <c r="K703" s="8">
        <f>IF(A703="","",IF(E703="",1E+99,J703-SUMIFS($F$2:F703,$E$2:E703,E703)))</f>
        <v/>
      </c>
      <c r="L703" s="5">
        <f>IF(A703="","",IF(OR(H703&lt;0,I703&lt;0,K703&lt;0),"UNMOEGLICH","OK"))</f>
        <v/>
      </c>
    </row>
    <row r="704">
      <c r="A704" s="7">
        <f>IF(ROW()-1&lt;=Eingabe!$B$4-Eingabe!$B$3+1,Eingabe!$B$3+ROW()-2,"")</f>
        <v/>
      </c>
      <c r="B704" s="5">
        <f>IF(A704="","",TEXT(A704,"yyyy-mm-dd"))</f>
        <v/>
      </c>
      <c r="C704" s="5">
        <f>IF(A704="","",TEXT(A704,"ddd"))</f>
        <v/>
      </c>
      <c r="D704" s="5">
        <f>IF(A704="","",TEXT(A704,"yyyy-mm"))</f>
        <v/>
      </c>
      <c r="E704" s="5">
        <f>IF(A704="","",IF(A704&lt;Eingabe!$B$5,"",INT((A704-Eingabe!$B$5)/(Eingabe!$B$6*7))+1))</f>
        <v/>
      </c>
      <c r="F704" s="8">
        <f>IF(A704="","",SUMPRODUCT((Eingabe!$B$16:$B$165&lt;&gt;"")*(Eingabe!$J$16:$J$165)*--(A704&gt;=Eingabe!$G$16:$G$165)*--(A704&lt;=Eingabe!$H$16:$H$165)*--(WEEKDAY(A704,2)&lt;=5)))</f>
        <v/>
      </c>
      <c r="G704" s="8">
        <f>IF(A704="","",SUM($F$2:F704))</f>
        <v/>
      </c>
      <c r="H704" s="8">
        <f>IF(A704="","",Eingabe!$B$7-G704)</f>
        <v/>
      </c>
      <c r="I704" s="8">
        <f>IF(A704="","",Eingabe!$B$8-SUMIFS($F$2:F704,$D$2:D704,D704))</f>
        <v/>
      </c>
      <c r="J704" s="8">
        <f>IF(A704="","",IF(E704="",1E+99,IFERROR(VLOOKUP(E704,Eingabe!$D$5:$E$44,2,FALSE),Eingabe!$B$9)))</f>
        <v/>
      </c>
      <c r="K704" s="8">
        <f>IF(A704="","",IF(E704="",1E+99,J704-SUMIFS($F$2:F704,$E$2:E704,E704)))</f>
        <v/>
      </c>
      <c r="L704" s="5">
        <f>IF(A704="","",IF(OR(H704&lt;0,I704&lt;0,K704&lt;0),"UNMOEGLICH","OK"))</f>
        <v/>
      </c>
    </row>
    <row r="705">
      <c r="A705" s="7">
        <f>IF(ROW()-1&lt;=Eingabe!$B$4-Eingabe!$B$3+1,Eingabe!$B$3+ROW()-2,"")</f>
        <v/>
      </c>
      <c r="B705" s="5">
        <f>IF(A705="","",TEXT(A705,"yyyy-mm-dd"))</f>
        <v/>
      </c>
      <c r="C705" s="5">
        <f>IF(A705="","",TEXT(A705,"ddd"))</f>
        <v/>
      </c>
      <c r="D705" s="5">
        <f>IF(A705="","",TEXT(A705,"yyyy-mm"))</f>
        <v/>
      </c>
      <c r="E705" s="5">
        <f>IF(A705="","",IF(A705&lt;Eingabe!$B$5,"",INT((A705-Eingabe!$B$5)/(Eingabe!$B$6*7))+1))</f>
        <v/>
      </c>
      <c r="F705" s="8">
        <f>IF(A705="","",SUMPRODUCT((Eingabe!$B$16:$B$165&lt;&gt;"")*(Eingabe!$J$16:$J$165)*--(A705&gt;=Eingabe!$G$16:$G$165)*--(A705&lt;=Eingabe!$H$16:$H$165)*--(WEEKDAY(A705,2)&lt;=5)))</f>
        <v/>
      </c>
      <c r="G705" s="8">
        <f>IF(A705="","",SUM($F$2:F705))</f>
        <v/>
      </c>
      <c r="H705" s="8">
        <f>IF(A705="","",Eingabe!$B$7-G705)</f>
        <v/>
      </c>
      <c r="I705" s="8">
        <f>IF(A705="","",Eingabe!$B$8-SUMIFS($F$2:F705,$D$2:D705,D705))</f>
        <v/>
      </c>
      <c r="J705" s="8">
        <f>IF(A705="","",IF(E705="",1E+99,IFERROR(VLOOKUP(E705,Eingabe!$D$5:$E$44,2,FALSE),Eingabe!$B$9)))</f>
        <v/>
      </c>
      <c r="K705" s="8">
        <f>IF(A705="","",IF(E705="",1E+99,J705-SUMIFS($F$2:F705,$E$2:E705,E705)))</f>
        <v/>
      </c>
      <c r="L705" s="5">
        <f>IF(A705="","",IF(OR(H705&lt;0,I705&lt;0,K705&lt;0),"UNMOEGLICH","OK"))</f>
        <v/>
      </c>
    </row>
    <row r="706">
      <c r="A706" s="7">
        <f>IF(ROW()-1&lt;=Eingabe!$B$4-Eingabe!$B$3+1,Eingabe!$B$3+ROW()-2,"")</f>
        <v/>
      </c>
      <c r="B706" s="5">
        <f>IF(A706="","",TEXT(A706,"yyyy-mm-dd"))</f>
        <v/>
      </c>
      <c r="C706" s="5">
        <f>IF(A706="","",TEXT(A706,"ddd"))</f>
        <v/>
      </c>
      <c r="D706" s="5">
        <f>IF(A706="","",TEXT(A706,"yyyy-mm"))</f>
        <v/>
      </c>
      <c r="E706" s="5">
        <f>IF(A706="","",IF(A706&lt;Eingabe!$B$5,"",INT((A706-Eingabe!$B$5)/(Eingabe!$B$6*7))+1))</f>
        <v/>
      </c>
      <c r="F706" s="8">
        <f>IF(A706="","",SUMPRODUCT((Eingabe!$B$16:$B$165&lt;&gt;"")*(Eingabe!$J$16:$J$165)*--(A706&gt;=Eingabe!$G$16:$G$165)*--(A706&lt;=Eingabe!$H$16:$H$165)*--(WEEKDAY(A706,2)&lt;=5)))</f>
        <v/>
      </c>
      <c r="G706" s="8">
        <f>IF(A706="","",SUM($F$2:F706))</f>
        <v/>
      </c>
      <c r="H706" s="8">
        <f>IF(A706="","",Eingabe!$B$7-G706)</f>
        <v/>
      </c>
      <c r="I706" s="8">
        <f>IF(A706="","",Eingabe!$B$8-SUMIFS($F$2:F706,$D$2:D706,D706))</f>
        <v/>
      </c>
      <c r="J706" s="8">
        <f>IF(A706="","",IF(E706="",1E+99,IFERROR(VLOOKUP(E706,Eingabe!$D$5:$E$44,2,FALSE),Eingabe!$B$9)))</f>
        <v/>
      </c>
      <c r="K706" s="8">
        <f>IF(A706="","",IF(E706="",1E+99,J706-SUMIFS($F$2:F706,$E$2:E706,E706)))</f>
        <v/>
      </c>
      <c r="L706" s="5">
        <f>IF(A706="","",IF(OR(H706&lt;0,I706&lt;0,K706&lt;0),"UNMOEGLICH","OK"))</f>
        <v/>
      </c>
    </row>
    <row r="707">
      <c r="A707" s="7">
        <f>IF(ROW()-1&lt;=Eingabe!$B$4-Eingabe!$B$3+1,Eingabe!$B$3+ROW()-2,"")</f>
        <v/>
      </c>
      <c r="B707" s="5">
        <f>IF(A707="","",TEXT(A707,"yyyy-mm-dd"))</f>
        <v/>
      </c>
      <c r="C707" s="5">
        <f>IF(A707="","",TEXT(A707,"ddd"))</f>
        <v/>
      </c>
      <c r="D707" s="5">
        <f>IF(A707="","",TEXT(A707,"yyyy-mm"))</f>
        <v/>
      </c>
      <c r="E707" s="5">
        <f>IF(A707="","",IF(A707&lt;Eingabe!$B$5,"",INT((A707-Eingabe!$B$5)/(Eingabe!$B$6*7))+1))</f>
        <v/>
      </c>
      <c r="F707" s="8">
        <f>IF(A707="","",SUMPRODUCT((Eingabe!$B$16:$B$165&lt;&gt;"")*(Eingabe!$J$16:$J$165)*--(A707&gt;=Eingabe!$G$16:$G$165)*--(A707&lt;=Eingabe!$H$16:$H$165)*--(WEEKDAY(A707,2)&lt;=5)))</f>
        <v/>
      </c>
      <c r="G707" s="8">
        <f>IF(A707="","",SUM($F$2:F707))</f>
        <v/>
      </c>
      <c r="H707" s="8">
        <f>IF(A707="","",Eingabe!$B$7-G707)</f>
        <v/>
      </c>
      <c r="I707" s="8">
        <f>IF(A707="","",Eingabe!$B$8-SUMIFS($F$2:F707,$D$2:D707,D707))</f>
        <v/>
      </c>
      <c r="J707" s="8">
        <f>IF(A707="","",IF(E707="",1E+99,IFERROR(VLOOKUP(E707,Eingabe!$D$5:$E$44,2,FALSE),Eingabe!$B$9)))</f>
        <v/>
      </c>
      <c r="K707" s="8">
        <f>IF(A707="","",IF(E707="",1E+99,J707-SUMIFS($F$2:F707,$E$2:E707,E707)))</f>
        <v/>
      </c>
      <c r="L707" s="5">
        <f>IF(A707="","",IF(OR(H707&lt;0,I707&lt;0,K707&lt;0),"UNMOEGLICH","OK"))</f>
        <v/>
      </c>
    </row>
    <row r="708">
      <c r="A708" s="7">
        <f>IF(ROW()-1&lt;=Eingabe!$B$4-Eingabe!$B$3+1,Eingabe!$B$3+ROW()-2,"")</f>
        <v/>
      </c>
      <c r="B708" s="5">
        <f>IF(A708="","",TEXT(A708,"yyyy-mm-dd"))</f>
        <v/>
      </c>
      <c r="C708" s="5">
        <f>IF(A708="","",TEXT(A708,"ddd"))</f>
        <v/>
      </c>
      <c r="D708" s="5">
        <f>IF(A708="","",TEXT(A708,"yyyy-mm"))</f>
        <v/>
      </c>
      <c r="E708" s="5">
        <f>IF(A708="","",IF(A708&lt;Eingabe!$B$5,"",INT((A708-Eingabe!$B$5)/(Eingabe!$B$6*7))+1))</f>
        <v/>
      </c>
      <c r="F708" s="8">
        <f>IF(A708="","",SUMPRODUCT((Eingabe!$B$16:$B$165&lt;&gt;"")*(Eingabe!$J$16:$J$165)*--(A708&gt;=Eingabe!$G$16:$G$165)*--(A708&lt;=Eingabe!$H$16:$H$165)*--(WEEKDAY(A708,2)&lt;=5)))</f>
        <v/>
      </c>
      <c r="G708" s="8">
        <f>IF(A708="","",SUM($F$2:F708))</f>
        <v/>
      </c>
      <c r="H708" s="8">
        <f>IF(A708="","",Eingabe!$B$7-G708)</f>
        <v/>
      </c>
      <c r="I708" s="8">
        <f>IF(A708="","",Eingabe!$B$8-SUMIFS($F$2:F708,$D$2:D708,D708))</f>
        <v/>
      </c>
      <c r="J708" s="8">
        <f>IF(A708="","",IF(E708="",1E+99,IFERROR(VLOOKUP(E708,Eingabe!$D$5:$E$44,2,FALSE),Eingabe!$B$9)))</f>
        <v/>
      </c>
      <c r="K708" s="8">
        <f>IF(A708="","",IF(E708="",1E+99,J708-SUMIFS($F$2:F708,$E$2:E708,E708)))</f>
        <v/>
      </c>
      <c r="L708" s="5">
        <f>IF(A708="","",IF(OR(H708&lt;0,I708&lt;0,K708&lt;0),"UNMOEGLICH","OK"))</f>
        <v/>
      </c>
    </row>
    <row r="709">
      <c r="A709" s="7">
        <f>IF(ROW()-1&lt;=Eingabe!$B$4-Eingabe!$B$3+1,Eingabe!$B$3+ROW()-2,"")</f>
        <v/>
      </c>
      <c r="B709" s="5">
        <f>IF(A709="","",TEXT(A709,"yyyy-mm-dd"))</f>
        <v/>
      </c>
      <c r="C709" s="5">
        <f>IF(A709="","",TEXT(A709,"ddd"))</f>
        <v/>
      </c>
      <c r="D709" s="5">
        <f>IF(A709="","",TEXT(A709,"yyyy-mm"))</f>
        <v/>
      </c>
      <c r="E709" s="5">
        <f>IF(A709="","",IF(A709&lt;Eingabe!$B$5,"",INT((A709-Eingabe!$B$5)/(Eingabe!$B$6*7))+1))</f>
        <v/>
      </c>
      <c r="F709" s="8">
        <f>IF(A709="","",SUMPRODUCT((Eingabe!$B$16:$B$165&lt;&gt;"")*(Eingabe!$J$16:$J$165)*--(A709&gt;=Eingabe!$G$16:$G$165)*--(A709&lt;=Eingabe!$H$16:$H$165)*--(WEEKDAY(A709,2)&lt;=5)))</f>
        <v/>
      </c>
      <c r="G709" s="8">
        <f>IF(A709="","",SUM($F$2:F709))</f>
        <v/>
      </c>
      <c r="H709" s="8">
        <f>IF(A709="","",Eingabe!$B$7-G709)</f>
        <v/>
      </c>
      <c r="I709" s="8">
        <f>IF(A709="","",Eingabe!$B$8-SUMIFS($F$2:F709,$D$2:D709,D709))</f>
        <v/>
      </c>
      <c r="J709" s="8">
        <f>IF(A709="","",IF(E709="",1E+99,IFERROR(VLOOKUP(E709,Eingabe!$D$5:$E$44,2,FALSE),Eingabe!$B$9)))</f>
        <v/>
      </c>
      <c r="K709" s="8">
        <f>IF(A709="","",IF(E709="",1E+99,J709-SUMIFS($F$2:F709,$E$2:E709,E709)))</f>
        <v/>
      </c>
      <c r="L709" s="5">
        <f>IF(A709="","",IF(OR(H709&lt;0,I709&lt;0,K709&lt;0),"UNMOEGLICH","OK"))</f>
        <v/>
      </c>
    </row>
    <row r="710">
      <c r="A710" s="7">
        <f>IF(ROW()-1&lt;=Eingabe!$B$4-Eingabe!$B$3+1,Eingabe!$B$3+ROW()-2,"")</f>
        <v/>
      </c>
      <c r="B710" s="5">
        <f>IF(A710="","",TEXT(A710,"yyyy-mm-dd"))</f>
        <v/>
      </c>
      <c r="C710" s="5">
        <f>IF(A710="","",TEXT(A710,"ddd"))</f>
        <v/>
      </c>
      <c r="D710" s="5">
        <f>IF(A710="","",TEXT(A710,"yyyy-mm"))</f>
        <v/>
      </c>
      <c r="E710" s="5">
        <f>IF(A710="","",IF(A710&lt;Eingabe!$B$5,"",INT((A710-Eingabe!$B$5)/(Eingabe!$B$6*7))+1))</f>
        <v/>
      </c>
      <c r="F710" s="8">
        <f>IF(A710="","",SUMPRODUCT((Eingabe!$B$16:$B$165&lt;&gt;"")*(Eingabe!$J$16:$J$165)*--(A710&gt;=Eingabe!$G$16:$G$165)*--(A710&lt;=Eingabe!$H$16:$H$165)*--(WEEKDAY(A710,2)&lt;=5)))</f>
        <v/>
      </c>
      <c r="G710" s="8">
        <f>IF(A710="","",SUM($F$2:F710))</f>
        <v/>
      </c>
      <c r="H710" s="8">
        <f>IF(A710="","",Eingabe!$B$7-G710)</f>
        <v/>
      </c>
      <c r="I710" s="8">
        <f>IF(A710="","",Eingabe!$B$8-SUMIFS($F$2:F710,$D$2:D710,D710))</f>
        <v/>
      </c>
      <c r="J710" s="8">
        <f>IF(A710="","",IF(E710="",1E+99,IFERROR(VLOOKUP(E710,Eingabe!$D$5:$E$44,2,FALSE),Eingabe!$B$9)))</f>
        <v/>
      </c>
      <c r="K710" s="8">
        <f>IF(A710="","",IF(E710="",1E+99,J710-SUMIFS($F$2:F710,$E$2:E710,E710)))</f>
        <v/>
      </c>
      <c r="L710" s="5">
        <f>IF(A710="","",IF(OR(H710&lt;0,I710&lt;0,K710&lt;0),"UNMOEGLICH","OK"))</f>
        <v/>
      </c>
    </row>
    <row r="711">
      <c r="A711" s="7">
        <f>IF(ROW()-1&lt;=Eingabe!$B$4-Eingabe!$B$3+1,Eingabe!$B$3+ROW()-2,"")</f>
        <v/>
      </c>
      <c r="B711" s="5">
        <f>IF(A711="","",TEXT(A711,"yyyy-mm-dd"))</f>
        <v/>
      </c>
      <c r="C711" s="5">
        <f>IF(A711="","",TEXT(A711,"ddd"))</f>
        <v/>
      </c>
      <c r="D711" s="5">
        <f>IF(A711="","",TEXT(A711,"yyyy-mm"))</f>
        <v/>
      </c>
      <c r="E711" s="5">
        <f>IF(A711="","",IF(A711&lt;Eingabe!$B$5,"",INT((A711-Eingabe!$B$5)/(Eingabe!$B$6*7))+1))</f>
        <v/>
      </c>
      <c r="F711" s="8">
        <f>IF(A711="","",SUMPRODUCT((Eingabe!$B$16:$B$165&lt;&gt;"")*(Eingabe!$J$16:$J$165)*--(A711&gt;=Eingabe!$G$16:$G$165)*--(A711&lt;=Eingabe!$H$16:$H$165)*--(WEEKDAY(A711,2)&lt;=5)))</f>
        <v/>
      </c>
      <c r="G711" s="8">
        <f>IF(A711="","",SUM($F$2:F711))</f>
        <v/>
      </c>
      <c r="H711" s="8">
        <f>IF(A711="","",Eingabe!$B$7-G711)</f>
        <v/>
      </c>
      <c r="I711" s="8">
        <f>IF(A711="","",Eingabe!$B$8-SUMIFS($F$2:F711,$D$2:D711,D711))</f>
        <v/>
      </c>
      <c r="J711" s="8">
        <f>IF(A711="","",IF(E711="",1E+99,IFERROR(VLOOKUP(E711,Eingabe!$D$5:$E$44,2,FALSE),Eingabe!$B$9)))</f>
        <v/>
      </c>
      <c r="K711" s="8">
        <f>IF(A711="","",IF(E711="",1E+99,J711-SUMIFS($F$2:F711,$E$2:E711,E711)))</f>
        <v/>
      </c>
      <c r="L711" s="5">
        <f>IF(A711="","",IF(OR(H711&lt;0,I711&lt;0,K711&lt;0),"UNMOEGLICH","OK"))</f>
        <v/>
      </c>
    </row>
    <row r="712">
      <c r="A712" s="7">
        <f>IF(ROW()-1&lt;=Eingabe!$B$4-Eingabe!$B$3+1,Eingabe!$B$3+ROW()-2,"")</f>
        <v/>
      </c>
      <c r="B712" s="5">
        <f>IF(A712="","",TEXT(A712,"yyyy-mm-dd"))</f>
        <v/>
      </c>
      <c r="C712" s="5">
        <f>IF(A712="","",TEXT(A712,"ddd"))</f>
        <v/>
      </c>
      <c r="D712" s="5">
        <f>IF(A712="","",TEXT(A712,"yyyy-mm"))</f>
        <v/>
      </c>
      <c r="E712" s="5">
        <f>IF(A712="","",IF(A712&lt;Eingabe!$B$5,"",INT((A712-Eingabe!$B$5)/(Eingabe!$B$6*7))+1))</f>
        <v/>
      </c>
      <c r="F712" s="8">
        <f>IF(A712="","",SUMPRODUCT((Eingabe!$B$16:$B$165&lt;&gt;"")*(Eingabe!$J$16:$J$165)*--(A712&gt;=Eingabe!$G$16:$G$165)*--(A712&lt;=Eingabe!$H$16:$H$165)*--(WEEKDAY(A712,2)&lt;=5)))</f>
        <v/>
      </c>
      <c r="G712" s="8">
        <f>IF(A712="","",SUM($F$2:F712))</f>
        <v/>
      </c>
      <c r="H712" s="8">
        <f>IF(A712="","",Eingabe!$B$7-G712)</f>
        <v/>
      </c>
      <c r="I712" s="8">
        <f>IF(A712="","",Eingabe!$B$8-SUMIFS($F$2:F712,$D$2:D712,D712))</f>
        <v/>
      </c>
      <c r="J712" s="8">
        <f>IF(A712="","",IF(E712="",1E+99,IFERROR(VLOOKUP(E712,Eingabe!$D$5:$E$44,2,FALSE),Eingabe!$B$9)))</f>
        <v/>
      </c>
      <c r="K712" s="8">
        <f>IF(A712="","",IF(E712="",1E+99,J712-SUMIFS($F$2:F712,$E$2:E712,E712)))</f>
        <v/>
      </c>
      <c r="L712" s="5">
        <f>IF(A712="","",IF(OR(H712&lt;0,I712&lt;0,K712&lt;0),"UNMOEGLICH","OK"))</f>
        <v/>
      </c>
    </row>
    <row r="713">
      <c r="A713" s="7">
        <f>IF(ROW()-1&lt;=Eingabe!$B$4-Eingabe!$B$3+1,Eingabe!$B$3+ROW()-2,"")</f>
        <v/>
      </c>
      <c r="B713" s="5">
        <f>IF(A713="","",TEXT(A713,"yyyy-mm-dd"))</f>
        <v/>
      </c>
      <c r="C713" s="5">
        <f>IF(A713="","",TEXT(A713,"ddd"))</f>
        <v/>
      </c>
      <c r="D713" s="5">
        <f>IF(A713="","",TEXT(A713,"yyyy-mm"))</f>
        <v/>
      </c>
      <c r="E713" s="5">
        <f>IF(A713="","",IF(A713&lt;Eingabe!$B$5,"",INT((A713-Eingabe!$B$5)/(Eingabe!$B$6*7))+1))</f>
        <v/>
      </c>
      <c r="F713" s="8">
        <f>IF(A713="","",SUMPRODUCT((Eingabe!$B$16:$B$165&lt;&gt;"")*(Eingabe!$J$16:$J$165)*--(A713&gt;=Eingabe!$G$16:$G$165)*--(A713&lt;=Eingabe!$H$16:$H$165)*--(WEEKDAY(A713,2)&lt;=5)))</f>
        <v/>
      </c>
      <c r="G713" s="8">
        <f>IF(A713="","",SUM($F$2:F713))</f>
        <v/>
      </c>
      <c r="H713" s="8">
        <f>IF(A713="","",Eingabe!$B$7-G713)</f>
        <v/>
      </c>
      <c r="I713" s="8">
        <f>IF(A713="","",Eingabe!$B$8-SUMIFS($F$2:F713,$D$2:D713,D713))</f>
        <v/>
      </c>
      <c r="J713" s="8">
        <f>IF(A713="","",IF(E713="",1E+99,IFERROR(VLOOKUP(E713,Eingabe!$D$5:$E$44,2,FALSE),Eingabe!$B$9)))</f>
        <v/>
      </c>
      <c r="K713" s="8">
        <f>IF(A713="","",IF(E713="",1E+99,J713-SUMIFS($F$2:F713,$E$2:E713,E713)))</f>
        <v/>
      </c>
      <c r="L713" s="5">
        <f>IF(A713="","",IF(OR(H713&lt;0,I713&lt;0,K713&lt;0),"UNMOEGLICH","OK"))</f>
        <v/>
      </c>
    </row>
    <row r="714">
      <c r="A714" s="7">
        <f>IF(ROW()-1&lt;=Eingabe!$B$4-Eingabe!$B$3+1,Eingabe!$B$3+ROW()-2,"")</f>
        <v/>
      </c>
      <c r="B714" s="5">
        <f>IF(A714="","",TEXT(A714,"yyyy-mm-dd"))</f>
        <v/>
      </c>
      <c r="C714" s="5">
        <f>IF(A714="","",TEXT(A714,"ddd"))</f>
        <v/>
      </c>
      <c r="D714" s="5">
        <f>IF(A714="","",TEXT(A714,"yyyy-mm"))</f>
        <v/>
      </c>
      <c r="E714" s="5">
        <f>IF(A714="","",IF(A714&lt;Eingabe!$B$5,"",INT((A714-Eingabe!$B$5)/(Eingabe!$B$6*7))+1))</f>
        <v/>
      </c>
      <c r="F714" s="8">
        <f>IF(A714="","",SUMPRODUCT((Eingabe!$B$16:$B$165&lt;&gt;"")*(Eingabe!$J$16:$J$165)*--(A714&gt;=Eingabe!$G$16:$G$165)*--(A714&lt;=Eingabe!$H$16:$H$165)*--(WEEKDAY(A714,2)&lt;=5)))</f>
        <v/>
      </c>
      <c r="G714" s="8">
        <f>IF(A714="","",SUM($F$2:F714))</f>
        <v/>
      </c>
      <c r="H714" s="8">
        <f>IF(A714="","",Eingabe!$B$7-G714)</f>
        <v/>
      </c>
      <c r="I714" s="8">
        <f>IF(A714="","",Eingabe!$B$8-SUMIFS($F$2:F714,$D$2:D714,D714))</f>
        <v/>
      </c>
      <c r="J714" s="8">
        <f>IF(A714="","",IF(E714="",1E+99,IFERROR(VLOOKUP(E714,Eingabe!$D$5:$E$44,2,FALSE),Eingabe!$B$9)))</f>
        <v/>
      </c>
      <c r="K714" s="8">
        <f>IF(A714="","",IF(E714="",1E+99,J714-SUMIFS($F$2:F714,$E$2:E714,E714)))</f>
        <v/>
      </c>
      <c r="L714" s="5">
        <f>IF(A714="","",IF(OR(H714&lt;0,I714&lt;0,K714&lt;0),"UNMOEGLICH","OK"))</f>
        <v/>
      </c>
    </row>
    <row r="715">
      <c r="A715" s="7">
        <f>IF(ROW()-1&lt;=Eingabe!$B$4-Eingabe!$B$3+1,Eingabe!$B$3+ROW()-2,"")</f>
        <v/>
      </c>
      <c r="B715" s="5">
        <f>IF(A715="","",TEXT(A715,"yyyy-mm-dd"))</f>
        <v/>
      </c>
      <c r="C715" s="5">
        <f>IF(A715="","",TEXT(A715,"ddd"))</f>
        <v/>
      </c>
      <c r="D715" s="5">
        <f>IF(A715="","",TEXT(A715,"yyyy-mm"))</f>
        <v/>
      </c>
      <c r="E715" s="5">
        <f>IF(A715="","",IF(A715&lt;Eingabe!$B$5,"",INT((A715-Eingabe!$B$5)/(Eingabe!$B$6*7))+1))</f>
        <v/>
      </c>
      <c r="F715" s="8">
        <f>IF(A715="","",SUMPRODUCT((Eingabe!$B$16:$B$165&lt;&gt;"")*(Eingabe!$J$16:$J$165)*--(A715&gt;=Eingabe!$G$16:$G$165)*--(A715&lt;=Eingabe!$H$16:$H$165)*--(WEEKDAY(A715,2)&lt;=5)))</f>
        <v/>
      </c>
      <c r="G715" s="8">
        <f>IF(A715="","",SUM($F$2:F715))</f>
        <v/>
      </c>
      <c r="H715" s="8">
        <f>IF(A715="","",Eingabe!$B$7-G715)</f>
        <v/>
      </c>
      <c r="I715" s="8">
        <f>IF(A715="","",Eingabe!$B$8-SUMIFS($F$2:F715,$D$2:D715,D715))</f>
        <v/>
      </c>
      <c r="J715" s="8">
        <f>IF(A715="","",IF(E715="",1E+99,IFERROR(VLOOKUP(E715,Eingabe!$D$5:$E$44,2,FALSE),Eingabe!$B$9)))</f>
        <v/>
      </c>
      <c r="K715" s="8">
        <f>IF(A715="","",IF(E715="",1E+99,J715-SUMIFS($F$2:F715,$E$2:E715,E715)))</f>
        <v/>
      </c>
      <c r="L715" s="5">
        <f>IF(A715="","",IF(OR(H715&lt;0,I715&lt;0,K715&lt;0),"UNMOEGLICH","OK"))</f>
        <v/>
      </c>
    </row>
    <row r="716">
      <c r="A716" s="7">
        <f>IF(ROW()-1&lt;=Eingabe!$B$4-Eingabe!$B$3+1,Eingabe!$B$3+ROW()-2,"")</f>
        <v/>
      </c>
      <c r="B716" s="5">
        <f>IF(A716="","",TEXT(A716,"yyyy-mm-dd"))</f>
        <v/>
      </c>
      <c r="C716" s="5">
        <f>IF(A716="","",TEXT(A716,"ddd"))</f>
        <v/>
      </c>
      <c r="D716" s="5">
        <f>IF(A716="","",TEXT(A716,"yyyy-mm"))</f>
        <v/>
      </c>
      <c r="E716" s="5">
        <f>IF(A716="","",IF(A716&lt;Eingabe!$B$5,"",INT((A716-Eingabe!$B$5)/(Eingabe!$B$6*7))+1))</f>
        <v/>
      </c>
      <c r="F716" s="8">
        <f>IF(A716="","",SUMPRODUCT((Eingabe!$B$16:$B$165&lt;&gt;"")*(Eingabe!$J$16:$J$165)*--(A716&gt;=Eingabe!$G$16:$G$165)*--(A716&lt;=Eingabe!$H$16:$H$165)*--(WEEKDAY(A716,2)&lt;=5)))</f>
        <v/>
      </c>
      <c r="G716" s="8">
        <f>IF(A716="","",SUM($F$2:F716))</f>
        <v/>
      </c>
      <c r="H716" s="8">
        <f>IF(A716="","",Eingabe!$B$7-G716)</f>
        <v/>
      </c>
      <c r="I716" s="8">
        <f>IF(A716="","",Eingabe!$B$8-SUMIFS($F$2:F716,$D$2:D716,D716))</f>
        <v/>
      </c>
      <c r="J716" s="8">
        <f>IF(A716="","",IF(E716="",1E+99,IFERROR(VLOOKUP(E716,Eingabe!$D$5:$E$44,2,FALSE),Eingabe!$B$9)))</f>
        <v/>
      </c>
      <c r="K716" s="8">
        <f>IF(A716="","",IF(E716="",1E+99,J716-SUMIFS($F$2:F716,$E$2:E716,E716)))</f>
        <v/>
      </c>
      <c r="L716" s="5">
        <f>IF(A716="","",IF(OR(H716&lt;0,I716&lt;0,K716&lt;0),"UNMOEGLICH","OK"))</f>
        <v/>
      </c>
    </row>
    <row r="717">
      <c r="A717" s="7">
        <f>IF(ROW()-1&lt;=Eingabe!$B$4-Eingabe!$B$3+1,Eingabe!$B$3+ROW()-2,"")</f>
        <v/>
      </c>
      <c r="B717" s="5">
        <f>IF(A717="","",TEXT(A717,"yyyy-mm-dd"))</f>
        <v/>
      </c>
      <c r="C717" s="5">
        <f>IF(A717="","",TEXT(A717,"ddd"))</f>
        <v/>
      </c>
      <c r="D717" s="5">
        <f>IF(A717="","",TEXT(A717,"yyyy-mm"))</f>
        <v/>
      </c>
      <c r="E717" s="5">
        <f>IF(A717="","",IF(A717&lt;Eingabe!$B$5,"",INT((A717-Eingabe!$B$5)/(Eingabe!$B$6*7))+1))</f>
        <v/>
      </c>
      <c r="F717" s="8">
        <f>IF(A717="","",SUMPRODUCT((Eingabe!$B$16:$B$165&lt;&gt;"")*(Eingabe!$J$16:$J$165)*--(A717&gt;=Eingabe!$G$16:$G$165)*--(A717&lt;=Eingabe!$H$16:$H$165)*--(WEEKDAY(A717,2)&lt;=5)))</f>
        <v/>
      </c>
      <c r="G717" s="8">
        <f>IF(A717="","",SUM($F$2:F717))</f>
        <v/>
      </c>
      <c r="H717" s="8">
        <f>IF(A717="","",Eingabe!$B$7-G717)</f>
        <v/>
      </c>
      <c r="I717" s="8">
        <f>IF(A717="","",Eingabe!$B$8-SUMIFS($F$2:F717,$D$2:D717,D717))</f>
        <v/>
      </c>
      <c r="J717" s="8">
        <f>IF(A717="","",IF(E717="",1E+99,IFERROR(VLOOKUP(E717,Eingabe!$D$5:$E$44,2,FALSE),Eingabe!$B$9)))</f>
        <v/>
      </c>
      <c r="K717" s="8">
        <f>IF(A717="","",IF(E717="",1E+99,J717-SUMIFS($F$2:F717,$E$2:E717,E717)))</f>
        <v/>
      </c>
      <c r="L717" s="5">
        <f>IF(A717="","",IF(OR(H717&lt;0,I717&lt;0,K717&lt;0),"UNMOEGLICH","OK"))</f>
        <v/>
      </c>
    </row>
    <row r="718">
      <c r="A718" s="7">
        <f>IF(ROW()-1&lt;=Eingabe!$B$4-Eingabe!$B$3+1,Eingabe!$B$3+ROW()-2,"")</f>
        <v/>
      </c>
      <c r="B718" s="5">
        <f>IF(A718="","",TEXT(A718,"yyyy-mm-dd"))</f>
        <v/>
      </c>
      <c r="C718" s="5">
        <f>IF(A718="","",TEXT(A718,"ddd"))</f>
        <v/>
      </c>
      <c r="D718" s="5">
        <f>IF(A718="","",TEXT(A718,"yyyy-mm"))</f>
        <v/>
      </c>
      <c r="E718" s="5">
        <f>IF(A718="","",IF(A718&lt;Eingabe!$B$5,"",INT((A718-Eingabe!$B$5)/(Eingabe!$B$6*7))+1))</f>
        <v/>
      </c>
      <c r="F718" s="8">
        <f>IF(A718="","",SUMPRODUCT((Eingabe!$B$16:$B$165&lt;&gt;"")*(Eingabe!$J$16:$J$165)*--(A718&gt;=Eingabe!$G$16:$G$165)*--(A718&lt;=Eingabe!$H$16:$H$165)*--(WEEKDAY(A718,2)&lt;=5)))</f>
        <v/>
      </c>
      <c r="G718" s="8">
        <f>IF(A718="","",SUM($F$2:F718))</f>
        <v/>
      </c>
      <c r="H718" s="8">
        <f>IF(A718="","",Eingabe!$B$7-G718)</f>
        <v/>
      </c>
      <c r="I718" s="8">
        <f>IF(A718="","",Eingabe!$B$8-SUMIFS($F$2:F718,$D$2:D718,D718))</f>
        <v/>
      </c>
      <c r="J718" s="8">
        <f>IF(A718="","",IF(E718="",1E+99,IFERROR(VLOOKUP(E718,Eingabe!$D$5:$E$44,2,FALSE),Eingabe!$B$9)))</f>
        <v/>
      </c>
      <c r="K718" s="8">
        <f>IF(A718="","",IF(E718="",1E+99,J718-SUMIFS($F$2:F718,$E$2:E718,E718)))</f>
        <v/>
      </c>
      <c r="L718" s="5">
        <f>IF(A718="","",IF(OR(H718&lt;0,I718&lt;0,K718&lt;0),"UNMOEGLICH","OK"))</f>
        <v/>
      </c>
    </row>
    <row r="719">
      <c r="A719" s="7">
        <f>IF(ROW()-1&lt;=Eingabe!$B$4-Eingabe!$B$3+1,Eingabe!$B$3+ROW()-2,"")</f>
        <v/>
      </c>
      <c r="B719" s="5">
        <f>IF(A719="","",TEXT(A719,"yyyy-mm-dd"))</f>
        <v/>
      </c>
      <c r="C719" s="5">
        <f>IF(A719="","",TEXT(A719,"ddd"))</f>
        <v/>
      </c>
      <c r="D719" s="5">
        <f>IF(A719="","",TEXT(A719,"yyyy-mm"))</f>
        <v/>
      </c>
      <c r="E719" s="5">
        <f>IF(A719="","",IF(A719&lt;Eingabe!$B$5,"",INT((A719-Eingabe!$B$5)/(Eingabe!$B$6*7))+1))</f>
        <v/>
      </c>
      <c r="F719" s="8">
        <f>IF(A719="","",SUMPRODUCT((Eingabe!$B$16:$B$165&lt;&gt;"")*(Eingabe!$J$16:$J$165)*--(A719&gt;=Eingabe!$G$16:$G$165)*--(A719&lt;=Eingabe!$H$16:$H$165)*--(WEEKDAY(A719,2)&lt;=5)))</f>
        <v/>
      </c>
      <c r="G719" s="8">
        <f>IF(A719="","",SUM($F$2:F719))</f>
        <v/>
      </c>
      <c r="H719" s="8">
        <f>IF(A719="","",Eingabe!$B$7-G719)</f>
        <v/>
      </c>
      <c r="I719" s="8">
        <f>IF(A719="","",Eingabe!$B$8-SUMIFS($F$2:F719,$D$2:D719,D719))</f>
        <v/>
      </c>
      <c r="J719" s="8">
        <f>IF(A719="","",IF(E719="",1E+99,IFERROR(VLOOKUP(E719,Eingabe!$D$5:$E$44,2,FALSE),Eingabe!$B$9)))</f>
        <v/>
      </c>
      <c r="K719" s="8">
        <f>IF(A719="","",IF(E719="",1E+99,J719-SUMIFS($F$2:F719,$E$2:E719,E719)))</f>
        <v/>
      </c>
      <c r="L719" s="5">
        <f>IF(A719="","",IF(OR(H719&lt;0,I719&lt;0,K719&lt;0),"UNMOEGLICH","OK"))</f>
        <v/>
      </c>
    </row>
    <row r="720">
      <c r="A720" s="7">
        <f>IF(ROW()-1&lt;=Eingabe!$B$4-Eingabe!$B$3+1,Eingabe!$B$3+ROW()-2,"")</f>
        <v/>
      </c>
      <c r="B720" s="5">
        <f>IF(A720="","",TEXT(A720,"yyyy-mm-dd"))</f>
        <v/>
      </c>
      <c r="C720" s="5">
        <f>IF(A720="","",TEXT(A720,"ddd"))</f>
        <v/>
      </c>
      <c r="D720" s="5">
        <f>IF(A720="","",TEXT(A720,"yyyy-mm"))</f>
        <v/>
      </c>
      <c r="E720" s="5">
        <f>IF(A720="","",IF(A720&lt;Eingabe!$B$5,"",INT((A720-Eingabe!$B$5)/(Eingabe!$B$6*7))+1))</f>
        <v/>
      </c>
      <c r="F720" s="8">
        <f>IF(A720="","",SUMPRODUCT((Eingabe!$B$16:$B$165&lt;&gt;"")*(Eingabe!$J$16:$J$165)*--(A720&gt;=Eingabe!$G$16:$G$165)*--(A720&lt;=Eingabe!$H$16:$H$165)*--(WEEKDAY(A720,2)&lt;=5)))</f>
        <v/>
      </c>
      <c r="G720" s="8">
        <f>IF(A720="","",SUM($F$2:F720))</f>
        <v/>
      </c>
      <c r="H720" s="8">
        <f>IF(A720="","",Eingabe!$B$7-G720)</f>
        <v/>
      </c>
      <c r="I720" s="8">
        <f>IF(A720="","",Eingabe!$B$8-SUMIFS($F$2:F720,$D$2:D720,D720))</f>
        <v/>
      </c>
      <c r="J720" s="8">
        <f>IF(A720="","",IF(E720="",1E+99,IFERROR(VLOOKUP(E720,Eingabe!$D$5:$E$44,2,FALSE),Eingabe!$B$9)))</f>
        <v/>
      </c>
      <c r="K720" s="8">
        <f>IF(A720="","",IF(E720="",1E+99,J720-SUMIFS($F$2:F720,$E$2:E720,E720)))</f>
        <v/>
      </c>
      <c r="L720" s="5">
        <f>IF(A720="","",IF(OR(H720&lt;0,I720&lt;0,K720&lt;0),"UNMOEGLICH","OK"))</f>
        <v/>
      </c>
    </row>
    <row r="721">
      <c r="A721" s="7">
        <f>IF(ROW()-1&lt;=Eingabe!$B$4-Eingabe!$B$3+1,Eingabe!$B$3+ROW()-2,"")</f>
        <v/>
      </c>
      <c r="B721" s="5">
        <f>IF(A721="","",TEXT(A721,"yyyy-mm-dd"))</f>
        <v/>
      </c>
      <c r="C721" s="5">
        <f>IF(A721="","",TEXT(A721,"ddd"))</f>
        <v/>
      </c>
      <c r="D721" s="5">
        <f>IF(A721="","",TEXT(A721,"yyyy-mm"))</f>
        <v/>
      </c>
      <c r="E721" s="5">
        <f>IF(A721="","",IF(A721&lt;Eingabe!$B$5,"",INT((A721-Eingabe!$B$5)/(Eingabe!$B$6*7))+1))</f>
        <v/>
      </c>
      <c r="F721" s="8">
        <f>IF(A721="","",SUMPRODUCT((Eingabe!$B$16:$B$165&lt;&gt;"")*(Eingabe!$J$16:$J$165)*--(A721&gt;=Eingabe!$G$16:$G$165)*--(A721&lt;=Eingabe!$H$16:$H$165)*--(WEEKDAY(A721,2)&lt;=5)))</f>
        <v/>
      </c>
      <c r="G721" s="8">
        <f>IF(A721="","",SUM($F$2:F721))</f>
        <v/>
      </c>
      <c r="H721" s="8">
        <f>IF(A721="","",Eingabe!$B$7-G721)</f>
        <v/>
      </c>
      <c r="I721" s="8">
        <f>IF(A721="","",Eingabe!$B$8-SUMIFS($F$2:F721,$D$2:D721,D721))</f>
        <v/>
      </c>
      <c r="J721" s="8">
        <f>IF(A721="","",IF(E721="",1E+99,IFERROR(VLOOKUP(E721,Eingabe!$D$5:$E$44,2,FALSE),Eingabe!$B$9)))</f>
        <v/>
      </c>
      <c r="K721" s="8">
        <f>IF(A721="","",IF(E721="",1E+99,J721-SUMIFS($F$2:F721,$E$2:E721,E721)))</f>
        <v/>
      </c>
      <c r="L721" s="5">
        <f>IF(A721="","",IF(OR(H721&lt;0,I721&lt;0,K721&lt;0),"UNMOEGLICH","OK"))</f>
        <v/>
      </c>
    </row>
    <row r="722">
      <c r="A722" s="7">
        <f>IF(ROW()-1&lt;=Eingabe!$B$4-Eingabe!$B$3+1,Eingabe!$B$3+ROW()-2,"")</f>
        <v/>
      </c>
      <c r="B722" s="5">
        <f>IF(A722="","",TEXT(A722,"yyyy-mm-dd"))</f>
        <v/>
      </c>
      <c r="C722" s="5">
        <f>IF(A722="","",TEXT(A722,"ddd"))</f>
        <v/>
      </c>
      <c r="D722" s="5">
        <f>IF(A722="","",TEXT(A722,"yyyy-mm"))</f>
        <v/>
      </c>
      <c r="E722" s="5">
        <f>IF(A722="","",IF(A722&lt;Eingabe!$B$5,"",INT((A722-Eingabe!$B$5)/(Eingabe!$B$6*7))+1))</f>
        <v/>
      </c>
      <c r="F722" s="8">
        <f>IF(A722="","",SUMPRODUCT((Eingabe!$B$16:$B$165&lt;&gt;"")*(Eingabe!$J$16:$J$165)*--(A722&gt;=Eingabe!$G$16:$G$165)*--(A722&lt;=Eingabe!$H$16:$H$165)*--(WEEKDAY(A722,2)&lt;=5)))</f>
        <v/>
      </c>
      <c r="G722" s="8">
        <f>IF(A722="","",SUM($F$2:F722))</f>
        <v/>
      </c>
      <c r="H722" s="8">
        <f>IF(A722="","",Eingabe!$B$7-G722)</f>
        <v/>
      </c>
      <c r="I722" s="8">
        <f>IF(A722="","",Eingabe!$B$8-SUMIFS($F$2:F722,$D$2:D722,D722))</f>
        <v/>
      </c>
      <c r="J722" s="8">
        <f>IF(A722="","",IF(E722="",1E+99,IFERROR(VLOOKUP(E722,Eingabe!$D$5:$E$44,2,FALSE),Eingabe!$B$9)))</f>
        <v/>
      </c>
      <c r="K722" s="8">
        <f>IF(A722="","",IF(E722="",1E+99,J722-SUMIFS($F$2:F722,$E$2:E722,E722)))</f>
        <v/>
      </c>
      <c r="L722" s="5">
        <f>IF(A722="","",IF(OR(H722&lt;0,I722&lt;0,K722&lt;0),"UNMOEGLICH","OK"))</f>
        <v/>
      </c>
    </row>
    <row r="723">
      <c r="A723" s="7">
        <f>IF(ROW()-1&lt;=Eingabe!$B$4-Eingabe!$B$3+1,Eingabe!$B$3+ROW()-2,"")</f>
        <v/>
      </c>
      <c r="B723" s="5">
        <f>IF(A723="","",TEXT(A723,"yyyy-mm-dd"))</f>
        <v/>
      </c>
      <c r="C723" s="5">
        <f>IF(A723="","",TEXT(A723,"ddd"))</f>
        <v/>
      </c>
      <c r="D723" s="5">
        <f>IF(A723="","",TEXT(A723,"yyyy-mm"))</f>
        <v/>
      </c>
      <c r="E723" s="5">
        <f>IF(A723="","",IF(A723&lt;Eingabe!$B$5,"",INT((A723-Eingabe!$B$5)/(Eingabe!$B$6*7))+1))</f>
        <v/>
      </c>
      <c r="F723" s="8">
        <f>IF(A723="","",SUMPRODUCT((Eingabe!$B$16:$B$165&lt;&gt;"")*(Eingabe!$J$16:$J$165)*--(A723&gt;=Eingabe!$G$16:$G$165)*--(A723&lt;=Eingabe!$H$16:$H$165)*--(WEEKDAY(A723,2)&lt;=5)))</f>
        <v/>
      </c>
      <c r="G723" s="8">
        <f>IF(A723="","",SUM($F$2:F723))</f>
        <v/>
      </c>
      <c r="H723" s="8">
        <f>IF(A723="","",Eingabe!$B$7-G723)</f>
        <v/>
      </c>
      <c r="I723" s="8">
        <f>IF(A723="","",Eingabe!$B$8-SUMIFS($F$2:F723,$D$2:D723,D723))</f>
        <v/>
      </c>
      <c r="J723" s="8">
        <f>IF(A723="","",IF(E723="",1E+99,IFERROR(VLOOKUP(E723,Eingabe!$D$5:$E$44,2,FALSE),Eingabe!$B$9)))</f>
        <v/>
      </c>
      <c r="K723" s="8">
        <f>IF(A723="","",IF(E723="",1E+99,J723-SUMIFS($F$2:F723,$E$2:E723,E723)))</f>
        <v/>
      </c>
      <c r="L723" s="5">
        <f>IF(A723="","",IF(OR(H723&lt;0,I723&lt;0,K723&lt;0),"UNMOEGLICH","OK"))</f>
        <v/>
      </c>
    </row>
    <row r="724">
      <c r="A724" s="7">
        <f>IF(ROW()-1&lt;=Eingabe!$B$4-Eingabe!$B$3+1,Eingabe!$B$3+ROW()-2,"")</f>
        <v/>
      </c>
      <c r="B724" s="5">
        <f>IF(A724="","",TEXT(A724,"yyyy-mm-dd"))</f>
        <v/>
      </c>
      <c r="C724" s="5">
        <f>IF(A724="","",TEXT(A724,"ddd"))</f>
        <v/>
      </c>
      <c r="D724" s="5">
        <f>IF(A724="","",TEXT(A724,"yyyy-mm"))</f>
        <v/>
      </c>
      <c r="E724" s="5">
        <f>IF(A724="","",IF(A724&lt;Eingabe!$B$5,"",INT((A724-Eingabe!$B$5)/(Eingabe!$B$6*7))+1))</f>
        <v/>
      </c>
      <c r="F724" s="8">
        <f>IF(A724="","",SUMPRODUCT((Eingabe!$B$16:$B$165&lt;&gt;"")*(Eingabe!$J$16:$J$165)*--(A724&gt;=Eingabe!$G$16:$G$165)*--(A724&lt;=Eingabe!$H$16:$H$165)*--(WEEKDAY(A724,2)&lt;=5)))</f>
        <v/>
      </c>
      <c r="G724" s="8">
        <f>IF(A724="","",SUM($F$2:F724))</f>
        <v/>
      </c>
      <c r="H724" s="8">
        <f>IF(A724="","",Eingabe!$B$7-G724)</f>
        <v/>
      </c>
      <c r="I724" s="8">
        <f>IF(A724="","",Eingabe!$B$8-SUMIFS($F$2:F724,$D$2:D724,D724))</f>
        <v/>
      </c>
      <c r="J724" s="8">
        <f>IF(A724="","",IF(E724="",1E+99,IFERROR(VLOOKUP(E724,Eingabe!$D$5:$E$44,2,FALSE),Eingabe!$B$9)))</f>
        <v/>
      </c>
      <c r="K724" s="8">
        <f>IF(A724="","",IF(E724="",1E+99,J724-SUMIFS($F$2:F724,$E$2:E724,E724)))</f>
        <v/>
      </c>
      <c r="L724" s="5">
        <f>IF(A724="","",IF(OR(H724&lt;0,I724&lt;0,K724&lt;0),"UNMOEGLICH","OK"))</f>
        <v/>
      </c>
    </row>
    <row r="725">
      <c r="A725" s="7">
        <f>IF(ROW()-1&lt;=Eingabe!$B$4-Eingabe!$B$3+1,Eingabe!$B$3+ROW()-2,"")</f>
        <v/>
      </c>
      <c r="B725" s="5">
        <f>IF(A725="","",TEXT(A725,"yyyy-mm-dd"))</f>
        <v/>
      </c>
      <c r="C725" s="5">
        <f>IF(A725="","",TEXT(A725,"ddd"))</f>
        <v/>
      </c>
      <c r="D725" s="5">
        <f>IF(A725="","",TEXT(A725,"yyyy-mm"))</f>
        <v/>
      </c>
      <c r="E725" s="5">
        <f>IF(A725="","",IF(A725&lt;Eingabe!$B$5,"",INT((A725-Eingabe!$B$5)/(Eingabe!$B$6*7))+1))</f>
        <v/>
      </c>
      <c r="F725" s="8">
        <f>IF(A725="","",SUMPRODUCT((Eingabe!$B$16:$B$165&lt;&gt;"")*(Eingabe!$J$16:$J$165)*--(A725&gt;=Eingabe!$G$16:$G$165)*--(A725&lt;=Eingabe!$H$16:$H$165)*--(WEEKDAY(A725,2)&lt;=5)))</f>
        <v/>
      </c>
      <c r="G725" s="8">
        <f>IF(A725="","",SUM($F$2:F725))</f>
        <v/>
      </c>
      <c r="H725" s="8">
        <f>IF(A725="","",Eingabe!$B$7-G725)</f>
        <v/>
      </c>
      <c r="I725" s="8">
        <f>IF(A725="","",Eingabe!$B$8-SUMIFS($F$2:F725,$D$2:D725,D725))</f>
        <v/>
      </c>
      <c r="J725" s="8">
        <f>IF(A725="","",IF(E725="",1E+99,IFERROR(VLOOKUP(E725,Eingabe!$D$5:$E$44,2,FALSE),Eingabe!$B$9)))</f>
        <v/>
      </c>
      <c r="K725" s="8">
        <f>IF(A725="","",IF(E725="",1E+99,J725-SUMIFS($F$2:F725,$E$2:E725,E725)))</f>
        <v/>
      </c>
      <c r="L725" s="5">
        <f>IF(A725="","",IF(OR(H725&lt;0,I725&lt;0,K725&lt;0),"UNMOEGLICH","OK"))</f>
        <v/>
      </c>
    </row>
    <row r="726">
      <c r="A726" s="7">
        <f>IF(ROW()-1&lt;=Eingabe!$B$4-Eingabe!$B$3+1,Eingabe!$B$3+ROW()-2,"")</f>
        <v/>
      </c>
      <c r="B726" s="5">
        <f>IF(A726="","",TEXT(A726,"yyyy-mm-dd"))</f>
        <v/>
      </c>
      <c r="C726" s="5">
        <f>IF(A726="","",TEXT(A726,"ddd"))</f>
        <v/>
      </c>
      <c r="D726" s="5">
        <f>IF(A726="","",TEXT(A726,"yyyy-mm"))</f>
        <v/>
      </c>
      <c r="E726" s="5">
        <f>IF(A726="","",IF(A726&lt;Eingabe!$B$5,"",INT((A726-Eingabe!$B$5)/(Eingabe!$B$6*7))+1))</f>
        <v/>
      </c>
      <c r="F726" s="8">
        <f>IF(A726="","",SUMPRODUCT((Eingabe!$B$16:$B$165&lt;&gt;"")*(Eingabe!$J$16:$J$165)*--(A726&gt;=Eingabe!$G$16:$G$165)*--(A726&lt;=Eingabe!$H$16:$H$165)*--(WEEKDAY(A726,2)&lt;=5)))</f>
        <v/>
      </c>
      <c r="G726" s="8">
        <f>IF(A726="","",SUM($F$2:F726))</f>
        <v/>
      </c>
      <c r="H726" s="8">
        <f>IF(A726="","",Eingabe!$B$7-G726)</f>
        <v/>
      </c>
      <c r="I726" s="8">
        <f>IF(A726="","",Eingabe!$B$8-SUMIFS($F$2:F726,$D$2:D726,D726))</f>
        <v/>
      </c>
      <c r="J726" s="8">
        <f>IF(A726="","",IF(E726="",1E+99,IFERROR(VLOOKUP(E726,Eingabe!$D$5:$E$44,2,FALSE),Eingabe!$B$9)))</f>
        <v/>
      </c>
      <c r="K726" s="8">
        <f>IF(A726="","",IF(E726="",1E+99,J726-SUMIFS($F$2:F726,$E$2:E726,E726)))</f>
        <v/>
      </c>
      <c r="L726" s="5">
        <f>IF(A726="","",IF(OR(H726&lt;0,I726&lt;0,K726&lt;0),"UNMOEGLICH","OK"))</f>
        <v/>
      </c>
    </row>
    <row r="727">
      <c r="A727" s="7">
        <f>IF(ROW()-1&lt;=Eingabe!$B$4-Eingabe!$B$3+1,Eingabe!$B$3+ROW()-2,"")</f>
        <v/>
      </c>
      <c r="B727" s="5">
        <f>IF(A727="","",TEXT(A727,"yyyy-mm-dd"))</f>
        <v/>
      </c>
      <c r="C727" s="5">
        <f>IF(A727="","",TEXT(A727,"ddd"))</f>
        <v/>
      </c>
      <c r="D727" s="5">
        <f>IF(A727="","",TEXT(A727,"yyyy-mm"))</f>
        <v/>
      </c>
      <c r="E727" s="5">
        <f>IF(A727="","",IF(A727&lt;Eingabe!$B$5,"",INT((A727-Eingabe!$B$5)/(Eingabe!$B$6*7))+1))</f>
        <v/>
      </c>
      <c r="F727" s="8">
        <f>IF(A727="","",SUMPRODUCT((Eingabe!$B$16:$B$165&lt;&gt;"")*(Eingabe!$J$16:$J$165)*--(A727&gt;=Eingabe!$G$16:$G$165)*--(A727&lt;=Eingabe!$H$16:$H$165)*--(WEEKDAY(A727,2)&lt;=5)))</f>
        <v/>
      </c>
      <c r="G727" s="8">
        <f>IF(A727="","",SUM($F$2:F727))</f>
        <v/>
      </c>
      <c r="H727" s="8">
        <f>IF(A727="","",Eingabe!$B$7-G727)</f>
        <v/>
      </c>
      <c r="I727" s="8">
        <f>IF(A727="","",Eingabe!$B$8-SUMIFS($F$2:F727,$D$2:D727,D727))</f>
        <v/>
      </c>
      <c r="J727" s="8">
        <f>IF(A727="","",IF(E727="",1E+99,IFERROR(VLOOKUP(E727,Eingabe!$D$5:$E$44,2,FALSE),Eingabe!$B$9)))</f>
        <v/>
      </c>
      <c r="K727" s="8">
        <f>IF(A727="","",IF(E727="",1E+99,J727-SUMIFS($F$2:F727,$E$2:E727,E727)))</f>
        <v/>
      </c>
      <c r="L727" s="5">
        <f>IF(A727="","",IF(OR(H727&lt;0,I727&lt;0,K727&lt;0),"UNMOEGLICH","OK"))</f>
        <v/>
      </c>
    </row>
    <row r="728">
      <c r="A728" s="7">
        <f>IF(ROW()-1&lt;=Eingabe!$B$4-Eingabe!$B$3+1,Eingabe!$B$3+ROW()-2,"")</f>
        <v/>
      </c>
      <c r="B728" s="5">
        <f>IF(A728="","",TEXT(A728,"yyyy-mm-dd"))</f>
        <v/>
      </c>
      <c r="C728" s="5">
        <f>IF(A728="","",TEXT(A728,"ddd"))</f>
        <v/>
      </c>
      <c r="D728" s="5">
        <f>IF(A728="","",TEXT(A728,"yyyy-mm"))</f>
        <v/>
      </c>
      <c r="E728" s="5">
        <f>IF(A728="","",IF(A728&lt;Eingabe!$B$5,"",INT((A728-Eingabe!$B$5)/(Eingabe!$B$6*7))+1))</f>
        <v/>
      </c>
      <c r="F728" s="8">
        <f>IF(A728="","",SUMPRODUCT((Eingabe!$B$16:$B$165&lt;&gt;"")*(Eingabe!$J$16:$J$165)*--(A728&gt;=Eingabe!$G$16:$G$165)*--(A728&lt;=Eingabe!$H$16:$H$165)*--(WEEKDAY(A728,2)&lt;=5)))</f>
        <v/>
      </c>
      <c r="G728" s="8">
        <f>IF(A728="","",SUM($F$2:F728))</f>
        <v/>
      </c>
      <c r="H728" s="8">
        <f>IF(A728="","",Eingabe!$B$7-G728)</f>
        <v/>
      </c>
      <c r="I728" s="8">
        <f>IF(A728="","",Eingabe!$B$8-SUMIFS($F$2:F728,$D$2:D728,D728))</f>
        <v/>
      </c>
      <c r="J728" s="8">
        <f>IF(A728="","",IF(E728="",1E+99,IFERROR(VLOOKUP(E728,Eingabe!$D$5:$E$44,2,FALSE),Eingabe!$B$9)))</f>
        <v/>
      </c>
      <c r="K728" s="8">
        <f>IF(A728="","",IF(E728="",1E+99,J728-SUMIFS($F$2:F728,$E$2:E728,E728)))</f>
        <v/>
      </c>
      <c r="L728" s="5">
        <f>IF(A728="","",IF(OR(H728&lt;0,I728&lt;0,K728&lt;0),"UNMOEGLICH","OK"))</f>
        <v/>
      </c>
    </row>
    <row r="729">
      <c r="A729" s="7">
        <f>IF(ROW()-1&lt;=Eingabe!$B$4-Eingabe!$B$3+1,Eingabe!$B$3+ROW()-2,"")</f>
        <v/>
      </c>
      <c r="B729" s="5">
        <f>IF(A729="","",TEXT(A729,"yyyy-mm-dd"))</f>
        <v/>
      </c>
      <c r="C729" s="5">
        <f>IF(A729="","",TEXT(A729,"ddd"))</f>
        <v/>
      </c>
      <c r="D729" s="5">
        <f>IF(A729="","",TEXT(A729,"yyyy-mm"))</f>
        <v/>
      </c>
      <c r="E729" s="5">
        <f>IF(A729="","",IF(A729&lt;Eingabe!$B$5,"",INT((A729-Eingabe!$B$5)/(Eingabe!$B$6*7))+1))</f>
        <v/>
      </c>
      <c r="F729" s="8">
        <f>IF(A729="","",SUMPRODUCT((Eingabe!$B$16:$B$165&lt;&gt;"")*(Eingabe!$J$16:$J$165)*--(A729&gt;=Eingabe!$G$16:$G$165)*--(A729&lt;=Eingabe!$H$16:$H$165)*--(WEEKDAY(A729,2)&lt;=5)))</f>
        <v/>
      </c>
      <c r="G729" s="8">
        <f>IF(A729="","",SUM($F$2:F729))</f>
        <v/>
      </c>
      <c r="H729" s="8">
        <f>IF(A729="","",Eingabe!$B$7-G729)</f>
        <v/>
      </c>
      <c r="I729" s="8">
        <f>IF(A729="","",Eingabe!$B$8-SUMIFS($F$2:F729,$D$2:D729,D729))</f>
        <v/>
      </c>
      <c r="J729" s="8">
        <f>IF(A729="","",IF(E729="",1E+99,IFERROR(VLOOKUP(E729,Eingabe!$D$5:$E$44,2,FALSE),Eingabe!$B$9)))</f>
        <v/>
      </c>
      <c r="K729" s="8">
        <f>IF(A729="","",IF(E729="",1E+99,J729-SUMIFS($F$2:F729,$E$2:E729,E729)))</f>
        <v/>
      </c>
      <c r="L729" s="5">
        <f>IF(A729="","",IF(OR(H729&lt;0,I729&lt;0,K729&lt;0),"UNMOEGLICH","OK"))</f>
        <v/>
      </c>
    </row>
    <row r="730">
      <c r="A730" s="7">
        <f>IF(ROW()-1&lt;=Eingabe!$B$4-Eingabe!$B$3+1,Eingabe!$B$3+ROW()-2,"")</f>
        <v/>
      </c>
      <c r="B730" s="5">
        <f>IF(A730="","",TEXT(A730,"yyyy-mm-dd"))</f>
        <v/>
      </c>
      <c r="C730" s="5">
        <f>IF(A730="","",TEXT(A730,"ddd"))</f>
        <v/>
      </c>
      <c r="D730" s="5">
        <f>IF(A730="","",TEXT(A730,"yyyy-mm"))</f>
        <v/>
      </c>
      <c r="E730" s="5">
        <f>IF(A730="","",IF(A730&lt;Eingabe!$B$5,"",INT((A730-Eingabe!$B$5)/(Eingabe!$B$6*7))+1))</f>
        <v/>
      </c>
      <c r="F730" s="8">
        <f>IF(A730="","",SUMPRODUCT((Eingabe!$B$16:$B$165&lt;&gt;"")*(Eingabe!$J$16:$J$165)*--(A730&gt;=Eingabe!$G$16:$G$165)*--(A730&lt;=Eingabe!$H$16:$H$165)*--(WEEKDAY(A730,2)&lt;=5)))</f>
        <v/>
      </c>
      <c r="G730" s="8">
        <f>IF(A730="","",SUM($F$2:F730))</f>
        <v/>
      </c>
      <c r="H730" s="8">
        <f>IF(A730="","",Eingabe!$B$7-G730)</f>
        <v/>
      </c>
      <c r="I730" s="8">
        <f>IF(A730="","",Eingabe!$B$8-SUMIFS($F$2:F730,$D$2:D730,D730))</f>
        <v/>
      </c>
      <c r="J730" s="8">
        <f>IF(A730="","",IF(E730="",1E+99,IFERROR(VLOOKUP(E730,Eingabe!$D$5:$E$44,2,FALSE),Eingabe!$B$9)))</f>
        <v/>
      </c>
      <c r="K730" s="8">
        <f>IF(A730="","",IF(E730="",1E+99,J730-SUMIFS($F$2:F730,$E$2:E730,E730)))</f>
        <v/>
      </c>
      <c r="L730" s="5">
        <f>IF(A730="","",IF(OR(H730&lt;0,I730&lt;0,K730&lt;0),"UNMOEGLICH","OK"))</f>
        <v/>
      </c>
    </row>
    <row r="731">
      <c r="A731" s="7">
        <f>IF(ROW()-1&lt;=Eingabe!$B$4-Eingabe!$B$3+1,Eingabe!$B$3+ROW()-2,"")</f>
        <v/>
      </c>
      <c r="B731" s="5">
        <f>IF(A731="","",TEXT(A731,"yyyy-mm-dd"))</f>
        <v/>
      </c>
      <c r="C731" s="5">
        <f>IF(A731="","",TEXT(A731,"ddd"))</f>
        <v/>
      </c>
      <c r="D731" s="5">
        <f>IF(A731="","",TEXT(A731,"yyyy-mm"))</f>
        <v/>
      </c>
      <c r="E731" s="5">
        <f>IF(A731="","",IF(A731&lt;Eingabe!$B$5,"",INT((A731-Eingabe!$B$5)/(Eingabe!$B$6*7))+1))</f>
        <v/>
      </c>
      <c r="F731" s="8">
        <f>IF(A731="","",SUMPRODUCT((Eingabe!$B$16:$B$165&lt;&gt;"")*(Eingabe!$J$16:$J$165)*--(A731&gt;=Eingabe!$G$16:$G$165)*--(A731&lt;=Eingabe!$H$16:$H$165)*--(WEEKDAY(A731,2)&lt;=5)))</f>
        <v/>
      </c>
      <c r="G731" s="8">
        <f>IF(A731="","",SUM($F$2:F731))</f>
        <v/>
      </c>
      <c r="H731" s="8">
        <f>IF(A731="","",Eingabe!$B$7-G731)</f>
        <v/>
      </c>
      <c r="I731" s="8">
        <f>IF(A731="","",Eingabe!$B$8-SUMIFS($F$2:F731,$D$2:D731,D731))</f>
        <v/>
      </c>
      <c r="J731" s="8">
        <f>IF(A731="","",IF(E731="",1E+99,IFERROR(VLOOKUP(E731,Eingabe!$D$5:$E$44,2,FALSE),Eingabe!$B$9)))</f>
        <v/>
      </c>
      <c r="K731" s="8">
        <f>IF(A731="","",IF(E731="",1E+99,J731-SUMIFS($F$2:F731,$E$2:E731,E731)))</f>
        <v/>
      </c>
      <c r="L731" s="5">
        <f>IF(A731="","",IF(OR(H731&lt;0,I731&lt;0,K731&lt;0),"UNMOEGLICH","OK"))</f>
        <v/>
      </c>
    </row>
    <row r="732">
      <c r="A732" s="7">
        <f>IF(ROW()-1&lt;=Eingabe!$B$4-Eingabe!$B$3+1,Eingabe!$B$3+ROW()-2,"")</f>
        <v/>
      </c>
      <c r="B732" s="5">
        <f>IF(A732="","",TEXT(A732,"yyyy-mm-dd"))</f>
        <v/>
      </c>
      <c r="C732" s="5">
        <f>IF(A732="","",TEXT(A732,"ddd"))</f>
        <v/>
      </c>
      <c r="D732" s="5">
        <f>IF(A732="","",TEXT(A732,"yyyy-mm"))</f>
        <v/>
      </c>
      <c r="E732" s="5">
        <f>IF(A732="","",IF(A732&lt;Eingabe!$B$5,"",INT((A732-Eingabe!$B$5)/(Eingabe!$B$6*7))+1))</f>
        <v/>
      </c>
      <c r="F732" s="8">
        <f>IF(A732="","",SUMPRODUCT((Eingabe!$B$16:$B$165&lt;&gt;"")*(Eingabe!$J$16:$J$165)*--(A732&gt;=Eingabe!$G$16:$G$165)*--(A732&lt;=Eingabe!$H$16:$H$165)*--(WEEKDAY(A732,2)&lt;=5)))</f>
        <v/>
      </c>
      <c r="G732" s="8">
        <f>IF(A732="","",SUM($F$2:F732))</f>
        <v/>
      </c>
      <c r="H732" s="8">
        <f>IF(A732="","",Eingabe!$B$7-G732)</f>
        <v/>
      </c>
      <c r="I732" s="8">
        <f>IF(A732="","",Eingabe!$B$8-SUMIFS($F$2:F732,$D$2:D732,D732))</f>
        <v/>
      </c>
      <c r="J732" s="8">
        <f>IF(A732="","",IF(E732="",1E+99,IFERROR(VLOOKUP(E732,Eingabe!$D$5:$E$44,2,FALSE),Eingabe!$B$9)))</f>
        <v/>
      </c>
      <c r="K732" s="8">
        <f>IF(A732="","",IF(E732="",1E+99,J732-SUMIFS($F$2:F732,$E$2:E732,E732)))</f>
        <v/>
      </c>
      <c r="L732" s="5">
        <f>IF(A732="","",IF(OR(H732&lt;0,I732&lt;0,K732&lt;0),"UNMOEGLICH","OK"))</f>
        <v/>
      </c>
    </row>
    <row r="733">
      <c r="A733" s="7">
        <f>IF(ROW()-1&lt;=Eingabe!$B$4-Eingabe!$B$3+1,Eingabe!$B$3+ROW()-2,"")</f>
        <v/>
      </c>
      <c r="B733" s="5">
        <f>IF(A733="","",TEXT(A733,"yyyy-mm-dd"))</f>
        <v/>
      </c>
      <c r="C733" s="5">
        <f>IF(A733="","",TEXT(A733,"ddd"))</f>
        <v/>
      </c>
      <c r="D733" s="5">
        <f>IF(A733="","",TEXT(A733,"yyyy-mm"))</f>
        <v/>
      </c>
      <c r="E733" s="5">
        <f>IF(A733="","",IF(A733&lt;Eingabe!$B$5,"",INT((A733-Eingabe!$B$5)/(Eingabe!$B$6*7))+1))</f>
        <v/>
      </c>
      <c r="F733" s="8">
        <f>IF(A733="","",SUMPRODUCT((Eingabe!$B$16:$B$165&lt;&gt;"")*(Eingabe!$J$16:$J$165)*--(A733&gt;=Eingabe!$G$16:$G$165)*--(A733&lt;=Eingabe!$H$16:$H$165)*--(WEEKDAY(A733,2)&lt;=5)))</f>
        <v/>
      </c>
      <c r="G733" s="8">
        <f>IF(A733="","",SUM($F$2:F733))</f>
        <v/>
      </c>
      <c r="H733" s="8">
        <f>IF(A733="","",Eingabe!$B$7-G733)</f>
        <v/>
      </c>
      <c r="I733" s="8">
        <f>IF(A733="","",Eingabe!$B$8-SUMIFS($F$2:F733,$D$2:D733,D733))</f>
        <v/>
      </c>
      <c r="J733" s="8">
        <f>IF(A733="","",IF(E733="",1E+99,IFERROR(VLOOKUP(E733,Eingabe!$D$5:$E$44,2,FALSE),Eingabe!$B$9)))</f>
        <v/>
      </c>
      <c r="K733" s="8">
        <f>IF(A733="","",IF(E733="",1E+99,J733-SUMIFS($F$2:F733,$E$2:E733,E733)))</f>
        <v/>
      </c>
      <c r="L733" s="5">
        <f>IF(A733="","",IF(OR(H733&lt;0,I733&lt;0,K733&lt;0),"UNMOEGLICH","OK"))</f>
        <v/>
      </c>
    </row>
    <row r="734">
      <c r="A734" s="7">
        <f>IF(ROW()-1&lt;=Eingabe!$B$4-Eingabe!$B$3+1,Eingabe!$B$3+ROW()-2,"")</f>
        <v/>
      </c>
      <c r="B734" s="5">
        <f>IF(A734="","",TEXT(A734,"yyyy-mm-dd"))</f>
        <v/>
      </c>
      <c r="C734" s="5">
        <f>IF(A734="","",TEXT(A734,"ddd"))</f>
        <v/>
      </c>
      <c r="D734" s="5">
        <f>IF(A734="","",TEXT(A734,"yyyy-mm"))</f>
        <v/>
      </c>
      <c r="E734" s="5">
        <f>IF(A734="","",IF(A734&lt;Eingabe!$B$5,"",INT((A734-Eingabe!$B$5)/(Eingabe!$B$6*7))+1))</f>
        <v/>
      </c>
      <c r="F734" s="8">
        <f>IF(A734="","",SUMPRODUCT((Eingabe!$B$16:$B$165&lt;&gt;"")*(Eingabe!$J$16:$J$165)*--(A734&gt;=Eingabe!$G$16:$G$165)*--(A734&lt;=Eingabe!$H$16:$H$165)*--(WEEKDAY(A734,2)&lt;=5)))</f>
        <v/>
      </c>
      <c r="G734" s="8">
        <f>IF(A734="","",SUM($F$2:F734))</f>
        <v/>
      </c>
      <c r="H734" s="8">
        <f>IF(A734="","",Eingabe!$B$7-G734)</f>
        <v/>
      </c>
      <c r="I734" s="8">
        <f>IF(A734="","",Eingabe!$B$8-SUMIFS($F$2:F734,$D$2:D734,D734))</f>
        <v/>
      </c>
      <c r="J734" s="8">
        <f>IF(A734="","",IF(E734="",1E+99,IFERROR(VLOOKUP(E734,Eingabe!$D$5:$E$44,2,FALSE),Eingabe!$B$9)))</f>
        <v/>
      </c>
      <c r="K734" s="8">
        <f>IF(A734="","",IF(E734="",1E+99,J734-SUMIFS($F$2:F734,$E$2:E734,E734)))</f>
        <v/>
      </c>
      <c r="L734" s="5">
        <f>IF(A734="","",IF(OR(H734&lt;0,I734&lt;0,K734&lt;0),"UNMOEGLICH","OK"))</f>
        <v/>
      </c>
    </row>
    <row r="735">
      <c r="A735" s="7">
        <f>IF(ROW()-1&lt;=Eingabe!$B$4-Eingabe!$B$3+1,Eingabe!$B$3+ROW()-2,"")</f>
        <v/>
      </c>
      <c r="B735" s="5">
        <f>IF(A735="","",TEXT(A735,"yyyy-mm-dd"))</f>
        <v/>
      </c>
      <c r="C735" s="5">
        <f>IF(A735="","",TEXT(A735,"ddd"))</f>
        <v/>
      </c>
      <c r="D735" s="5">
        <f>IF(A735="","",TEXT(A735,"yyyy-mm"))</f>
        <v/>
      </c>
      <c r="E735" s="5">
        <f>IF(A735="","",IF(A735&lt;Eingabe!$B$5,"",INT((A735-Eingabe!$B$5)/(Eingabe!$B$6*7))+1))</f>
        <v/>
      </c>
      <c r="F735" s="8">
        <f>IF(A735="","",SUMPRODUCT((Eingabe!$B$16:$B$165&lt;&gt;"")*(Eingabe!$J$16:$J$165)*--(A735&gt;=Eingabe!$G$16:$G$165)*--(A735&lt;=Eingabe!$H$16:$H$165)*--(WEEKDAY(A735,2)&lt;=5)))</f>
        <v/>
      </c>
      <c r="G735" s="8">
        <f>IF(A735="","",SUM($F$2:F735))</f>
        <v/>
      </c>
      <c r="H735" s="8">
        <f>IF(A735="","",Eingabe!$B$7-G735)</f>
        <v/>
      </c>
      <c r="I735" s="8">
        <f>IF(A735="","",Eingabe!$B$8-SUMIFS($F$2:F735,$D$2:D735,D735))</f>
        <v/>
      </c>
      <c r="J735" s="8">
        <f>IF(A735="","",IF(E735="",1E+99,IFERROR(VLOOKUP(E735,Eingabe!$D$5:$E$44,2,FALSE),Eingabe!$B$9)))</f>
        <v/>
      </c>
      <c r="K735" s="8">
        <f>IF(A735="","",IF(E735="",1E+99,J735-SUMIFS($F$2:F735,$E$2:E735,E735)))</f>
        <v/>
      </c>
      <c r="L735" s="5">
        <f>IF(A735="","",IF(OR(H735&lt;0,I735&lt;0,K735&lt;0),"UNMOEGLICH","OK"))</f>
        <v/>
      </c>
    </row>
    <row r="736">
      <c r="A736" s="7">
        <f>IF(ROW()-1&lt;=Eingabe!$B$4-Eingabe!$B$3+1,Eingabe!$B$3+ROW()-2,"")</f>
        <v/>
      </c>
      <c r="B736" s="5">
        <f>IF(A736="","",TEXT(A736,"yyyy-mm-dd"))</f>
        <v/>
      </c>
      <c r="C736" s="5">
        <f>IF(A736="","",TEXT(A736,"ddd"))</f>
        <v/>
      </c>
      <c r="D736" s="5">
        <f>IF(A736="","",TEXT(A736,"yyyy-mm"))</f>
        <v/>
      </c>
      <c r="E736" s="5">
        <f>IF(A736="","",IF(A736&lt;Eingabe!$B$5,"",INT((A736-Eingabe!$B$5)/(Eingabe!$B$6*7))+1))</f>
        <v/>
      </c>
      <c r="F736" s="8">
        <f>IF(A736="","",SUMPRODUCT((Eingabe!$B$16:$B$165&lt;&gt;"")*(Eingabe!$J$16:$J$165)*--(A736&gt;=Eingabe!$G$16:$G$165)*--(A736&lt;=Eingabe!$H$16:$H$165)*--(WEEKDAY(A736,2)&lt;=5)))</f>
        <v/>
      </c>
      <c r="G736" s="8">
        <f>IF(A736="","",SUM($F$2:F736))</f>
        <v/>
      </c>
      <c r="H736" s="8">
        <f>IF(A736="","",Eingabe!$B$7-G736)</f>
        <v/>
      </c>
      <c r="I736" s="8">
        <f>IF(A736="","",Eingabe!$B$8-SUMIFS($F$2:F736,$D$2:D736,D736))</f>
        <v/>
      </c>
      <c r="J736" s="8">
        <f>IF(A736="","",IF(E736="",1E+99,IFERROR(VLOOKUP(E736,Eingabe!$D$5:$E$44,2,FALSE),Eingabe!$B$9)))</f>
        <v/>
      </c>
      <c r="K736" s="8">
        <f>IF(A736="","",IF(E736="",1E+99,J736-SUMIFS($F$2:F736,$E$2:E736,E736)))</f>
        <v/>
      </c>
      <c r="L736" s="5">
        <f>IF(A736="","",IF(OR(H736&lt;0,I736&lt;0,K736&lt;0),"UNMOEGLICH","OK"))</f>
        <v/>
      </c>
    </row>
    <row r="737">
      <c r="A737" s="7">
        <f>IF(ROW()-1&lt;=Eingabe!$B$4-Eingabe!$B$3+1,Eingabe!$B$3+ROW()-2,"")</f>
        <v/>
      </c>
      <c r="B737" s="5">
        <f>IF(A737="","",TEXT(A737,"yyyy-mm-dd"))</f>
        <v/>
      </c>
      <c r="C737" s="5">
        <f>IF(A737="","",TEXT(A737,"ddd"))</f>
        <v/>
      </c>
      <c r="D737" s="5">
        <f>IF(A737="","",TEXT(A737,"yyyy-mm"))</f>
        <v/>
      </c>
      <c r="E737" s="5">
        <f>IF(A737="","",IF(A737&lt;Eingabe!$B$5,"",INT((A737-Eingabe!$B$5)/(Eingabe!$B$6*7))+1))</f>
        <v/>
      </c>
      <c r="F737" s="8">
        <f>IF(A737="","",SUMPRODUCT((Eingabe!$B$16:$B$165&lt;&gt;"")*(Eingabe!$J$16:$J$165)*--(A737&gt;=Eingabe!$G$16:$G$165)*--(A737&lt;=Eingabe!$H$16:$H$165)*--(WEEKDAY(A737,2)&lt;=5)))</f>
        <v/>
      </c>
      <c r="G737" s="8">
        <f>IF(A737="","",SUM($F$2:F737))</f>
        <v/>
      </c>
      <c r="H737" s="8">
        <f>IF(A737="","",Eingabe!$B$7-G737)</f>
        <v/>
      </c>
      <c r="I737" s="8">
        <f>IF(A737="","",Eingabe!$B$8-SUMIFS($F$2:F737,$D$2:D737,D737))</f>
        <v/>
      </c>
      <c r="J737" s="8">
        <f>IF(A737="","",IF(E737="",1E+99,IFERROR(VLOOKUP(E737,Eingabe!$D$5:$E$44,2,FALSE),Eingabe!$B$9)))</f>
        <v/>
      </c>
      <c r="K737" s="8">
        <f>IF(A737="","",IF(E737="",1E+99,J737-SUMIFS($F$2:F737,$E$2:E737,E737)))</f>
        <v/>
      </c>
      <c r="L737" s="5">
        <f>IF(A737="","",IF(OR(H737&lt;0,I737&lt;0,K737&lt;0),"UNMOEGLICH","OK"))</f>
        <v/>
      </c>
    </row>
    <row r="738">
      <c r="A738" s="7">
        <f>IF(ROW()-1&lt;=Eingabe!$B$4-Eingabe!$B$3+1,Eingabe!$B$3+ROW()-2,"")</f>
        <v/>
      </c>
      <c r="B738" s="5">
        <f>IF(A738="","",TEXT(A738,"yyyy-mm-dd"))</f>
        <v/>
      </c>
      <c r="C738" s="5">
        <f>IF(A738="","",TEXT(A738,"ddd"))</f>
        <v/>
      </c>
      <c r="D738" s="5">
        <f>IF(A738="","",TEXT(A738,"yyyy-mm"))</f>
        <v/>
      </c>
      <c r="E738" s="5">
        <f>IF(A738="","",IF(A738&lt;Eingabe!$B$5,"",INT((A738-Eingabe!$B$5)/(Eingabe!$B$6*7))+1))</f>
        <v/>
      </c>
      <c r="F738" s="8">
        <f>IF(A738="","",SUMPRODUCT((Eingabe!$B$16:$B$165&lt;&gt;"")*(Eingabe!$J$16:$J$165)*--(A738&gt;=Eingabe!$G$16:$G$165)*--(A738&lt;=Eingabe!$H$16:$H$165)*--(WEEKDAY(A738,2)&lt;=5)))</f>
        <v/>
      </c>
      <c r="G738" s="8">
        <f>IF(A738="","",SUM($F$2:F738))</f>
        <v/>
      </c>
      <c r="H738" s="8">
        <f>IF(A738="","",Eingabe!$B$7-G738)</f>
        <v/>
      </c>
      <c r="I738" s="8">
        <f>IF(A738="","",Eingabe!$B$8-SUMIFS($F$2:F738,$D$2:D738,D738))</f>
        <v/>
      </c>
      <c r="J738" s="8">
        <f>IF(A738="","",IF(E738="",1E+99,IFERROR(VLOOKUP(E738,Eingabe!$D$5:$E$44,2,FALSE),Eingabe!$B$9)))</f>
        <v/>
      </c>
      <c r="K738" s="8">
        <f>IF(A738="","",IF(E738="",1E+99,J738-SUMIFS($F$2:F738,$E$2:E738,E738)))</f>
        <v/>
      </c>
      <c r="L738" s="5">
        <f>IF(A738="","",IF(OR(H738&lt;0,I738&lt;0,K738&lt;0),"UNMOEGLICH","OK"))</f>
        <v/>
      </c>
    </row>
    <row r="739">
      <c r="A739" s="7">
        <f>IF(ROW()-1&lt;=Eingabe!$B$4-Eingabe!$B$3+1,Eingabe!$B$3+ROW()-2,"")</f>
        <v/>
      </c>
      <c r="B739" s="5">
        <f>IF(A739="","",TEXT(A739,"yyyy-mm-dd"))</f>
        <v/>
      </c>
      <c r="C739" s="5">
        <f>IF(A739="","",TEXT(A739,"ddd"))</f>
        <v/>
      </c>
      <c r="D739" s="5">
        <f>IF(A739="","",TEXT(A739,"yyyy-mm"))</f>
        <v/>
      </c>
      <c r="E739" s="5">
        <f>IF(A739="","",IF(A739&lt;Eingabe!$B$5,"",INT((A739-Eingabe!$B$5)/(Eingabe!$B$6*7))+1))</f>
        <v/>
      </c>
      <c r="F739" s="8">
        <f>IF(A739="","",SUMPRODUCT((Eingabe!$B$16:$B$165&lt;&gt;"")*(Eingabe!$J$16:$J$165)*--(A739&gt;=Eingabe!$G$16:$G$165)*--(A739&lt;=Eingabe!$H$16:$H$165)*--(WEEKDAY(A739,2)&lt;=5)))</f>
        <v/>
      </c>
      <c r="G739" s="8">
        <f>IF(A739="","",SUM($F$2:F739))</f>
        <v/>
      </c>
      <c r="H739" s="8">
        <f>IF(A739="","",Eingabe!$B$7-G739)</f>
        <v/>
      </c>
      <c r="I739" s="8">
        <f>IF(A739="","",Eingabe!$B$8-SUMIFS($F$2:F739,$D$2:D739,D739))</f>
        <v/>
      </c>
      <c r="J739" s="8">
        <f>IF(A739="","",IF(E739="",1E+99,IFERROR(VLOOKUP(E739,Eingabe!$D$5:$E$44,2,FALSE),Eingabe!$B$9)))</f>
        <v/>
      </c>
      <c r="K739" s="8">
        <f>IF(A739="","",IF(E739="",1E+99,J739-SUMIFS($F$2:F739,$E$2:E739,E739)))</f>
        <v/>
      </c>
      <c r="L739" s="5">
        <f>IF(A739="","",IF(OR(H739&lt;0,I739&lt;0,K739&lt;0),"UNMOEGLICH","OK"))</f>
        <v/>
      </c>
    </row>
    <row r="740">
      <c r="A740" s="7">
        <f>IF(ROW()-1&lt;=Eingabe!$B$4-Eingabe!$B$3+1,Eingabe!$B$3+ROW()-2,"")</f>
        <v/>
      </c>
      <c r="B740" s="5">
        <f>IF(A740="","",TEXT(A740,"yyyy-mm-dd"))</f>
        <v/>
      </c>
      <c r="C740" s="5">
        <f>IF(A740="","",TEXT(A740,"ddd"))</f>
        <v/>
      </c>
      <c r="D740" s="5">
        <f>IF(A740="","",TEXT(A740,"yyyy-mm"))</f>
        <v/>
      </c>
      <c r="E740" s="5">
        <f>IF(A740="","",IF(A740&lt;Eingabe!$B$5,"",INT((A740-Eingabe!$B$5)/(Eingabe!$B$6*7))+1))</f>
        <v/>
      </c>
      <c r="F740" s="8">
        <f>IF(A740="","",SUMPRODUCT((Eingabe!$B$16:$B$165&lt;&gt;"")*(Eingabe!$J$16:$J$165)*--(A740&gt;=Eingabe!$G$16:$G$165)*--(A740&lt;=Eingabe!$H$16:$H$165)*--(WEEKDAY(A740,2)&lt;=5)))</f>
        <v/>
      </c>
      <c r="G740" s="8">
        <f>IF(A740="","",SUM($F$2:F740))</f>
        <v/>
      </c>
      <c r="H740" s="8">
        <f>IF(A740="","",Eingabe!$B$7-G740)</f>
        <v/>
      </c>
      <c r="I740" s="8">
        <f>IF(A740="","",Eingabe!$B$8-SUMIFS($F$2:F740,$D$2:D740,D740))</f>
        <v/>
      </c>
      <c r="J740" s="8">
        <f>IF(A740="","",IF(E740="",1E+99,IFERROR(VLOOKUP(E740,Eingabe!$D$5:$E$44,2,FALSE),Eingabe!$B$9)))</f>
        <v/>
      </c>
      <c r="K740" s="8">
        <f>IF(A740="","",IF(E740="",1E+99,J740-SUMIFS($F$2:F740,$E$2:E740,E740)))</f>
        <v/>
      </c>
      <c r="L740" s="5">
        <f>IF(A740="","",IF(OR(H740&lt;0,I740&lt;0,K740&lt;0),"UNMOEGLICH","OK"))</f>
        <v/>
      </c>
    </row>
    <row r="741">
      <c r="A741" s="7">
        <f>IF(ROW()-1&lt;=Eingabe!$B$4-Eingabe!$B$3+1,Eingabe!$B$3+ROW()-2,"")</f>
        <v/>
      </c>
      <c r="B741" s="5">
        <f>IF(A741="","",TEXT(A741,"yyyy-mm-dd"))</f>
        <v/>
      </c>
      <c r="C741" s="5">
        <f>IF(A741="","",TEXT(A741,"ddd"))</f>
        <v/>
      </c>
      <c r="D741" s="5">
        <f>IF(A741="","",TEXT(A741,"yyyy-mm"))</f>
        <v/>
      </c>
      <c r="E741" s="5">
        <f>IF(A741="","",IF(A741&lt;Eingabe!$B$5,"",INT((A741-Eingabe!$B$5)/(Eingabe!$B$6*7))+1))</f>
        <v/>
      </c>
      <c r="F741" s="8">
        <f>IF(A741="","",SUMPRODUCT((Eingabe!$B$16:$B$165&lt;&gt;"")*(Eingabe!$J$16:$J$165)*--(A741&gt;=Eingabe!$G$16:$G$165)*--(A741&lt;=Eingabe!$H$16:$H$165)*--(WEEKDAY(A741,2)&lt;=5)))</f>
        <v/>
      </c>
      <c r="G741" s="8">
        <f>IF(A741="","",SUM($F$2:F741))</f>
        <v/>
      </c>
      <c r="H741" s="8">
        <f>IF(A741="","",Eingabe!$B$7-G741)</f>
        <v/>
      </c>
      <c r="I741" s="8">
        <f>IF(A741="","",Eingabe!$B$8-SUMIFS($F$2:F741,$D$2:D741,D741))</f>
        <v/>
      </c>
      <c r="J741" s="8">
        <f>IF(A741="","",IF(E741="",1E+99,IFERROR(VLOOKUP(E741,Eingabe!$D$5:$E$44,2,FALSE),Eingabe!$B$9)))</f>
        <v/>
      </c>
      <c r="K741" s="8">
        <f>IF(A741="","",IF(E741="",1E+99,J741-SUMIFS($F$2:F741,$E$2:E741,E741)))</f>
        <v/>
      </c>
      <c r="L741" s="5">
        <f>IF(A741="","",IF(OR(H741&lt;0,I741&lt;0,K741&lt;0),"UNMOEGLICH","OK"))</f>
        <v/>
      </c>
    </row>
    <row r="742">
      <c r="A742" s="7">
        <f>IF(ROW()-1&lt;=Eingabe!$B$4-Eingabe!$B$3+1,Eingabe!$B$3+ROW()-2,"")</f>
        <v/>
      </c>
      <c r="B742" s="5">
        <f>IF(A742="","",TEXT(A742,"yyyy-mm-dd"))</f>
        <v/>
      </c>
      <c r="C742" s="5">
        <f>IF(A742="","",TEXT(A742,"ddd"))</f>
        <v/>
      </c>
      <c r="D742" s="5">
        <f>IF(A742="","",TEXT(A742,"yyyy-mm"))</f>
        <v/>
      </c>
      <c r="E742" s="5">
        <f>IF(A742="","",IF(A742&lt;Eingabe!$B$5,"",INT((A742-Eingabe!$B$5)/(Eingabe!$B$6*7))+1))</f>
        <v/>
      </c>
      <c r="F742" s="8">
        <f>IF(A742="","",SUMPRODUCT((Eingabe!$B$16:$B$165&lt;&gt;"")*(Eingabe!$J$16:$J$165)*--(A742&gt;=Eingabe!$G$16:$G$165)*--(A742&lt;=Eingabe!$H$16:$H$165)*--(WEEKDAY(A742,2)&lt;=5)))</f>
        <v/>
      </c>
      <c r="G742" s="8">
        <f>IF(A742="","",SUM($F$2:F742))</f>
        <v/>
      </c>
      <c r="H742" s="8">
        <f>IF(A742="","",Eingabe!$B$7-G742)</f>
        <v/>
      </c>
      <c r="I742" s="8">
        <f>IF(A742="","",Eingabe!$B$8-SUMIFS($F$2:F742,$D$2:D742,D742))</f>
        <v/>
      </c>
      <c r="J742" s="8">
        <f>IF(A742="","",IF(E742="",1E+99,IFERROR(VLOOKUP(E742,Eingabe!$D$5:$E$44,2,FALSE),Eingabe!$B$9)))</f>
        <v/>
      </c>
      <c r="K742" s="8">
        <f>IF(A742="","",IF(E742="",1E+99,J742-SUMIFS($F$2:F742,$E$2:E742,E742)))</f>
        <v/>
      </c>
      <c r="L742" s="5">
        <f>IF(A742="","",IF(OR(H742&lt;0,I742&lt;0,K742&lt;0),"UNMOEGLICH","OK"))</f>
        <v/>
      </c>
    </row>
    <row r="743">
      <c r="A743" s="7">
        <f>IF(ROW()-1&lt;=Eingabe!$B$4-Eingabe!$B$3+1,Eingabe!$B$3+ROW()-2,"")</f>
        <v/>
      </c>
      <c r="B743" s="5">
        <f>IF(A743="","",TEXT(A743,"yyyy-mm-dd"))</f>
        <v/>
      </c>
      <c r="C743" s="5">
        <f>IF(A743="","",TEXT(A743,"ddd"))</f>
        <v/>
      </c>
      <c r="D743" s="5">
        <f>IF(A743="","",TEXT(A743,"yyyy-mm"))</f>
        <v/>
      </c>
      <c r="E743" s="5">
        <f>IF(A743="","",IF(A743&lt;Eingabe!$B$5,"",INT((A743-Eingabe!$B$5)/(Eingabe!$B$6*7))+1))</f>
        <v/>
      </c>
      <c r="F743" s="8">
        <f>IF(A743="","",SUMPRODUCT((Eingabe!$B$16:$B$165&lt;&gt;"")*(Eingabe!$J$16:$J$165)*--(A743&gt;=Eingabe!$G$16:$G$165)*--(A743&lt;=Eingabe!$H$16:$H$165)*--(WEEKDAY(A743,2)&lt;=5)))</f>
        <v/>
      </c>
      <c r="G743" s="8">
        <f>IF(A743="","",SUM($F$2:F743))</f>
        <v/>
      </c>
      <c r="H743" s="8">
        <f>IF(A743="","",Eingabe!$B$7-G743)</f>
        <v/>
      </c>
      <c r="I743" s="8">
        <f>IF(A743="","",Eingabe!$B$8-SUMIFS($F$2:F743,$D$2:D743,D743))</f>
        <v/>
      </c>
      <c r="J743" s="8">
        <f>IF(A743="","",IF(E743="",1E+99,IFERROR(VLOOKUP(E743,Eingabe!$D$5:$E$44,2,FALSE),Eingabe!$B$9)))</f>
        <v/>
      </c>
      <c r="K743" s="8">
        <f>IF(A743="","",IF(E743="",1E+99,J743-SUMIFS($F$2:F743,$E$2:E743,E743)))</f>
        <v/>
      </c>
      <c r="L743" s="5">
        <f>IF(A743="","",IF(OR(H743&lt;0,I743&lt;0,K743&lt;0),"UNMOEGLICH","OK"))</f>
        <v/>
      </c>
    </row>
    <row r="744">
      <c r="A744" s="7">
        <f>IF(ROW()-1&lt;=Eingabe!$B$4-Eingabe!$B$3+1,Eingabe!$B$3+ROW()-2,"")</f>
        <v/>
      </c>
      <c r="B744" s="5">
        <f>IF(A744="","",TEXT(A744,"yyyy-mm-dd"))</f>
        <v/>
      </c>
      <c r="C744" s="5">
        <f>IF(A744="","",TEXT(A744,"ddd"))</f>
        <v/>
      </c>
      <c r="D744" s="5">
        <f>IF(A744="","",TEXT(A744,"yyyy-mm"))</f>
        <v/>
      </c>
      <c r="E744" s="5">
        <f>IF(A744="","",IF(A744&lt;Eingabe!$B$5,"",INT((A744-Eingabe!$B$5)/(Eingabe!$B$6*7))+1))</f>
        <v/>
      </c>
      <c r="F744" s="8">
        <f>IF(A744="","",SUMPRODUCT((Eingabe!$B$16:$B$165&lt;&gt;"")*(Eingabe!$J$16:$J$165)*--(A744&gt;=Eingabe!$G$16:$G$165)*--(A744&lt;=Eingabe!$H$16:$H$165)*--(WEEKDAY(A744,2)&lt;=5)))</f>
        <v/>
      </c>
      <c r="G744" s="8">
        <f>IF(A744="","",SUM($F$2:F744))</f>
        <v/>
      </c>
      <c r="H744" s="8">
        <f>IF(A744="","",Eingabe!$B$7-G744)</f>
        <v/>
      </c>
      <c r="I744" s="8">
        <f>IF(A744="","",Eingabe!$B$8-SUMIFS($F$2:F744,$D$2:D744,D744))</f>
        <v/>
      </c>
      <c r="J744" s="8">
        <f>IF(A744="","",IF(E744="",1E+99,IFERROR(VLOOKUP(E744,Eingabe!$D$5:$E$44,2,FALSE),Eingabe!$B$9)))</f>
        <v/>
      </c>
      <c r="K744" s="8">
        <f>IF(A744="","",IF(E744="",1E+99,J744-SUMIFS($F$2:F744,$E$2:E744,E744)))</f>
        <v/>
      </c>
      <c r="L744" s="5">
        <f>IF(A744="","",IF(OR(H744&lt;0,I744&lt;0,K744&lt;0),"UNMOEGLICH","OK"))</f>
        <v/>
      </c>
    </row>
    <row r="745">
      <c r="A745" s="7">
        <f>IF(ROW()-1&lt;=Eingabe!$B$4-Eingabe!$B$3+1,Eingabe!$B$3+ROW()-2,"")</f>
        <v/>
      </c>
      <c r="B745" s="5">
        <f>IF(A745="","",TEXT(A745,"yyyy-mm-dd"))</f>
        <v/>
      </c>
      <c r="C745" s="5">
        <f>IF(A745="","",TEXT(A745,"ddd"))</f>
        <v/>
      </c>
      <c r="D745" s="5">
        <f>IF(A745="","",TEXT(A745,"yyyy-mm"))</f>
        <v/>
      </c>
      <c r="E745" s="5">
        <f>IF(A745="","",IF(A745&lt;Eingabe!$B$5,"",INT((A745-Eingabe!$B$5)/(Eingabe!$B$6*7))+1))</f>
        <v/>
      </c>
      <c r="F745" s="8">
        <f>IF(A745="","",SUMPRODUCT((Eingabe!$B$16:$B$165&lt;&gt;"")*(Eingabe!$J$16:$J$165)*--(A745&gt;=Eingabe!$G$16:$G$165)*--(A745&lt;=Eingabe!$H$16:$H$165)*--(WEEKDAY(A745,2)&lt;=5)))</f>
        <v/>
      </c>
      <c r="G745" s="8">
        <f>IF(A745="","",SUM($F$2:F745))</f>
        <v/>
      </c>
      <c r="H745" s="8">
        <f>IF(A745="","",Eingabe!$B$7-G745)</f>
        <v/>
      </c>
      <c r="I745" s="8">
        <f>IF(A745="","",Eingabe!$B$8-SUMIFS($F$2:F745,$D$2:D745,D745))</f>
        <v/>
      </c>
      <c r="J745" s="8">
        <f>IF(A745="","",IF(E745="",1E+99,IFERROR(VLOOKUP(E745,Eingabe!$D$5:$E$44,2,FALSE),Eingabe!$B$9)))</f>
        <v/>
      </c>
      <c r="K745" s="8">
        <f>IF(A745="","",IF(E745="",1E+99,J745-SUMIFS($F$2:F745,$E$2:E745,E745)))</f>
        <v/>
      </c>
      <c r="L745" s="5">
        <f>IF(A745="","",IF(OR(H745&lt;0,I745&lt;0,K745&lt;0),"UNMOEGLICH","OK"))</f>
        <v/>
      </c>
    </row>
    <row r="746">
      <c r="A746" s="7">
        <f>IF(ROW()-1&lt;=Eingabe!$B$4-Eingabe!$B$3+1,Eingabe!$B$3+ROW()-2,"")</f>
        <v/>
      </c>
      <c r="B746" s="5">
        <f>IF(A746="","",TEXT(A746,"yyyy-mm-dd"))</f>
        <v/>
      </c>
      <c r="C746" s="5">
        <f>IF(A746="","",TEXT(A746,"ddd"))</f>
        <v/>
      </c>
      <c r="D746" s="5">
        <f>IF(A746="","",TEXT(A746,"yyyy-mm"))</f>
        <v/>
      </c>
      <c r="E746" s="5">
        <f>IF(A746="","",IF(A746&lt;Eingabe!$B$5,"",INT((A746-Eingabe!$B$5)/(Eingabe!$B$6*7))+1))</f>
        <v/>
      </c>
      <c r="F746" s="8">
        <f>IF(A746="","",SUMPRODUCT((Eingabe!$B$16:$B$165&lt;&gt;"")*(Eingabe!$J$16:$J$165)*--(A746&gt;=Eingabe!$G$16:$G$165)*--(A746&lt;=Eingabe!$H$16:$H$165)*--(WEEKDAY(A746,2)&lt;=5)))</f>
        <v/>
      </c>
      <c r="G746" s="8">
        <f>IF(A746="","",SUM($F$2:F746))</f>
        <v/>
      </c>
      <c r="H746" s="8">
        <f>IF(A746="","",Eingabe!$B$7-G746)</f>
        <v/>
      </c>
      <c r="I746" s="8">
        <f>IF(A746="","",Eingabe!$B$8-SUMIFS($F$2:F746,$D$2:D746,D746))</f>
        <v/>
      </c>
      <c r="J746" s="8">
        <f>IF(A746="","",IF(E746="",1E+99,IFERROR(VLOOKUP(E746,Eingabe!$D$5:$E$44,2,FALSE),Eingabe!$B$9)))</f>
        <v/>
      </c>
      <c r="K746" s="8">
        <f>IF(A746="","",IF(E746="",1E+99,J746-SUMIFS($F$2:F746,$E$2:E746,E746)))</f>
        <v/>
      </c>
      <c r="L746" s="5">
        <f>IF(A746="","",IF(OR(H746&lt;0,I746&lt;0,K746&lt;0),"UNMOEGLICH","OK"))</f>
        <v/>
      </c>
    </row>
    <row r="747">
      <c r="A747" s="7">
        <f>IF(ROW()-1&lt;=Eingabe!$B$4-Eingabe!$B$3+1,Eingabe!$B$3+ROW()-2,"")</f>
        <v/>
      </c>
      <c r="B747" s="5">
        <f>IF(A747="","",TEXT(A747,"yyyy-mm-dd"))</f>
        <v/>
      </c>
      <c r="C747" s="5">
        <f>IF(A747="","",TEXT(A747,"ddd"))</f>
        <v/>
      </c>
      <c r="D747" s="5">
        <f>IF(A747="","",TEXT(A747,"yyyy-mm"))</f>
        <v/>
      </c>
      <c r="E747" s="5">
        <f>IF(A747="","",IF(A747&lt;Eingabe!$B$5,"",INT((A747-Eingabe!$B$5)/(Eingabe!$B$6*7))+1))</f>
        <v/>
      </c>
      <c r="F747" s="8">
        <f>IF(A747="","",SUMPRODUCT((Eingabe!$B$16:$B$165&lt;&gt;"")*(Eingabe!$J$16:$J$165)*--(A747&gt;=Eingabe!$G$16:$G$165)*--(A747&lt;=Eingabe!$H$16:$H$165)*--(WEEKDAY(A747,2)&lt;=5)))</f>
        <v/>
      </c>
      <c r="G747" s="8">
        <f>IF(A747="","",SUM($F$2:F747))</f>
        <v/>
      </c>
      <c r="H747" s="8">
        <f>IF(A747="","",Eingabe!$B$7-G747)</f>
        <v/>
      </c>
      <c r="I747" s="8">
        <f>IF(A747="","",Eingabe!$B$8-SUMIFS($F$2:F747,$D$2:D747,D747))</f>
        <v/>
      </c>
      <c r="J747" s="8">
        <f>IF(A747="","",IF(E747="",1E+99,IFERROR(VLOOKUP(E747,Eingabe!$D$5:$E$44,2,FALSE),Eingabe!$B$9)))</f>
        <v/>
      </c>
      <c r="K747" s="8">
        <f>IF(A747="","",IF(E747="",1E+99,J747-SUMIFS($F$2:F747,$E$2:E747,E747)))</f>
        <v/>
      </c>
      <c r="L747" s="5">
        <f>IF(A747="","",IF(OR(H747&lt;0,I747&lt;0,K747&lt;0),"UNMOEGLICH","OK"))</f>
        <v/>
      </c>
    </row>
    <row r="748">
      <c r="A748" s="7">
        <f>IF(ROW()-1&lt;=Eingabe!$B$4-Eingabe!$B$3+1,Eingabe!$B$3+ROW()-2,"")</f>
        <v/>
      </c>
      <c r="B748" s="5">
        <f>IF(A748="","",TEXT(A748,"yyyy-mm-dd"))</f>
        <v/>
      </c>
      <c r="C748" s="5">
        <f>IF(A748="","",TEXT(A748,"ddd"))</f>
        <v/>
      </c>
      <c r="D748" s="5">
        <f>IF(A748="","",TEXT(A748,"yyyy-mm"))</f>
        <v/>
      </c>
      <c r="E748" s="5">
        <f>IF(A748="","",IF(A748&lt;Eingabe!$B$5,"",INT((A748-Eingabe!$B$5)/(Eingabe!$B$6*7))+1))</f>
        <v/>
      </c>
      <c r="F748" s="8">
        <f>IF(A748="","",SUMPRODUCT((Eingabe!$B$16:$B$165&lt;&gt;"")*(Eingabe!$J$16:$J$165)*--(A748&gt;=Eingabe!$G$16:$G$165)*--(A748&lt;=Eingabe!$H$16:$H$165)*--(WEEKDAY(A748,2)&lt;=5)))</f>
        <v/>
      </c>
      <c r="G748" s="8">
        <f>IF(A748="","",SUM($F$2:F748))</f>
        <v/>
      </c>
      <c r="H748" s="8">
        <f>IF(A748="","",Eingabe!$B$7-G748)</f>
        <v/>
      </c>
      <c r="I748" s="8">
        <f>IF(A748="","",Eingabe!$B$8-SUMIFS($F$2:F748,$D$2:D748,D748))</f>
        <v/>
      </c>
      <c r="J748" s="8">
        <f>IF(A748="","",IF(E748="",1E+99,IFERROR(VLOOKUP(E748,Eingabe!$D$5:$E$44,2,FALSE),Eingabe!$B$9)))</f>
        <v/>
      </c>
      <c r="K748" s="8">
        <f>IF(A748="","",IF(E748="",1E+99,J748-SUMIFS($F$2:F748,$E$2:E748,E748)))</f>
        <v/>
      </c>
      <c r="L748" s="5">
        <f>IF(A748="","",IF(OR(H748&lt;0,I748&lt;0,K748&lt;0),"UNMOEGLICH","OK"))</f>
        <v/>
      </c>
    </row>
    <row r="749">
      <c r="A749" s="7">
        <f>IF(ROW()-1&lt;=Eingabe!$B$4-Eingabe!$B$3+1,Eingabe!$B$3+ROW()-2,"")</f>
        <v/>
      </c>
      <c r="B749" s="5">
        <f>IF(A749="","",TEXT(A749,"yyyy-mm-dd"))</f>
        <v/>
      </c>
      <c r="C749" s="5">
        <f>IF(A749="","",TEXT(A749,"ddd"))</f>
        <v/>
      </c>
      <c r="D749" s="5">
        <f>IF(A749="","",TEXT(A749,"yyyy-mm"))</f>
        <v/>
      </c>
      <c r="E749" s="5">
        <f>IF(A749="","",IF(A749&lt;Eingabe!$B$5,"",INT((A749-Eingabe!$B$5)/(Eingabe!$B$6*7))+1))</f>
        <v/>
      </c>
      <c r="F749" s="8">
        <f>IF(A749="","",SUMPRODUCT((Eingabe!$B$16:$B$165&lt;&gt;"")*(Eingabe!$J$16:$J$165)*--(A749&gt;=Eingabe!$G$16:$G$165)*--(A749&lt;=Eingabe!$H$16:$H$165)*--(WEEKDAY(A749,2)&lt;=5)))</f>
        <v/>
      </c>
      <c r="G749" s="8">
        <f>IF(A749="","",SUM($F$2:F749))</f>
        <v/>
      </c>
      <c r="H749" s="8">
        <f>IF(A749="","",Eingabe!$B$7-G749)</f>
        <v/>
      </c>
      <c r="I749" s="8">
        <f>IF(A749="","",Eingabe!$B$8-SUMIFS($F$2:F749,$D$2:D749,D749))</f>
        <v/>
      </c>
      <c r="J749" s="8">
        <f>IF(A749="","",IF(E749="",1E+99,IFERROR(VLOOKUP(E749,Eingabe!$D$5:$E$44,2,FALSE),Eingabe!$B$9)))</f>
        <v/>
      </c>
      <c r="K749" s="8">
        <f>IF(A749="","",IF(E749="",1E+99,J749-SUMIFS($F$2:F749,$E$2:E749,E749)))</f>
        <v/>
      </c>
      <c r="L749" s="5">
        <f>IF(A749="","",IF(OR(H749&lt;0,I749&lt;0,K749&lt;0),"UNMOEGLICH","OK"))</f>
        <v/>
      </c>
    </row>
    <row r="750">
      <c r="A750" s="7">
        <f>IF(ROW()-1&lt;=Eingabe!$B$4-Eingabe!$B$3+1,Eingabe!$B$3+ROW()-2,"")</f>
        <v/>
      </c>
      <c r="B750" s="5">
        <f>IF(A750="","",TEXT(A750,"yyyy-mm-dd"))</f>
        <v/>
      </c>
      <c r="C750" s="5">
        <f>IF(A750="","",TEXT(A750,"ddd"))</f>
        <v/>
      </c>
      <c r="D750" s="5">
        <f>IF(A750="","",TEXT(A750,"yyyy-mm"))</f>
        <v/>
      </c>
      <c r="E750" s="5">
        <f>IF(A750="","",IF(A750&lt;Eingabe!$B$5,"",INT((A750-Eingabe!$B$5)/(Eingabe!$B$6*7))+1))</f>
        <v/>
      </c>
      <c r="F750" s="8">
        <f>IF(A750="","",SUMPRODUCT((Eingabe!$B$16:$B$165&lt;&gt;"")*(Eingabe!$J$16:$J$165)*--(A750&gt;=Eingabe!$G$16:$G$165)*--(A750&lt;=Eingabe!$H$16:$H$165)*--(WEEKDAY(A750,2)&lt;=5)))</f>
        <v/>
      </c>
      <c r="G750" s="8">
        <f>IF(A750="","",SUM($F$2:F750))</f>
        <v/>
      </c>
      <c r="H750" s="8">
        <f>IF(A750="","",Eingabe!$B$7-G750)</f>
        <v/>
      </c>
      <c r="I750" s="8">
        <f>IF(A750="","",Eingabe!$B$8-SUMIFS($F$2:F750,$D$2:D750,D750))</f>
        <v/>
      </c>
      <c r="J750" s="8">
        <f>IF(A750="","",IF(E750="",1E+99,IFERROR(VLOOKUP(E750,Eingabe!$D$5:$E$44,2,FALSE),Eingabe!$B$9)))</f>
        <v/>
      </c>
      <c r="K750" s="8">
        <f>IF(A750="","",IF(E750="",1E+99,J750-SUMIFS($F$2:F750,$E$2:E750,E750)))</f>
        <v/>
      </c>
      <c r="L750" s="5">
        <f>IF(A750="","",IF(OR(H750&lt;0,I750&lt;0,K750&lt;0),"UNMOEGLICH","OK"))</f>
        <v/>
      </c>
    </row>
    <row r="751">
      <c r="A751" s="7">
        <f>IF(ROW()-1&lt;=Eingabe!$B$4-Eingabe!$B$3+1,Eingabe!$B$3+ROW()-2,"")</f>
        <v/>
      </c>
      <c r="B751" s="5">
        <f>IF(A751="","",TEXT(A751,"yyyy-mm-dd"))</f>
        <v/>
      </c>
      <c r="C751" s="5">
        <f>IF(A751="","",TEXT(A751,"ddd"))</f>
        <v/>
      </c>
      <c r="D751" s="5">
        <f>IF(A751="","",TEXT(A751,"yyyy-mm"))</f>
        <v/>
      </c>
      <c r="E751" s="5">
        <f>IF(A751="","",IF(A751&lt;Eingabe!$B$5,"",INT((A751-Eingabe!$B$5)/(Eingabe!$B$6*7))+1))</f>
        <v/>
      </c>
      <c r="F751" s="8">
        <f>IF(A751="","",SUMPRODUCT((Eingabe!$B$16:$B$165&lt;&gt;"")*(Eingabe!$J$16:$J$165)*--(A751&gt;=Eingabe!$G$16:$G$165)*--(A751&lt;=Eingabe!$H$16:$H$165)*--(WEEKDAY(A751,2)&lt;=5)))</f>
        <v/>
      </c>
      <c r="G751" s="8">
        <f>IF(A751="","",SUM($F$2:F751))</f>
        <v/>
      </c>
      <c r="H751" s="8">
        <f>IF(A751="","",Eingabe!$B$7-G751)</f>
        <v/>
      </c>
      <c r="I751" s="8">
        <f>IF(A751="","",Eingabe!$B$8-SUMIFS($F$2:F751,$D$2:D751,D751))</f>
        <v/>
      </c>
      <c r="J751" s="8">
        <f>IF(A751="","",IF(E751="",1E+99,IFERROR(VLOOKUP(E751,Eingabe!$D$5:$E$44,2,FALSE),Eingabe!$B$9)))</f>
        <v/>
      </c>
      <c r="K751" s="8">
        <f>IF(A751="","",IF(E751="",1E+99,J751-SUMIFS($F$2:F751,$E$2:E751,E751)))</f>
        <v/>
      </c>
      <c r="L751" s="5">
        <f>IF(A751="","",IF(OR(H751&lt;0,I751&lt;0,K751&lt;0),"UNMOEGLICH","OK"))</f>
        <v/>
      </c>
    </row>
    <row r="752">
      <c r="A752" s="7">
        <f>IF(ROW()-1&lt;=Eingabe!$B$4-Eingabe!$B$3+1,Eingabe!$B$3+ROW()-2,"")</f>
        <v/>
      </c>
      <c r="B752" s="5">
        <f>IF(A752="","",TEXT(A752,"yyyy-mm-dd"))</f>
        <v/>
      </c>
      <c r="C752" s="5">
        <f>IF(A752="","",TEXT(A752,"ddd"))</f>
        <v/>
      </c>
      <c r="D752" s="5">
        <f>IF(A752="","",TEXT(A752,"yyyy-mm"))</f>
        <v/>
      </c>
      <c r="E752" s="5">
        <f>IF(A752="","",IF(A752&lt;Eingabe!$B$5,"",INT((A752-Eingabe!$B$5)/(Eingabe!$B$6*7))+1))</f>
        <v/>
      </c>
      <c r="F752" s="8">
        <f>IF(A752="","",SUMPRODUCT((Eingabe!$B$16:$B$165&lt;&gt;"")*(Eingabe!$J$16:$J$165)*--(A752&gt;=Eingabe!$G$16:$G$165)*--(A752&lt;=Eingabe!$H$16:$H$165)*--(WEEKDAY(A752,2)&lt;=5)))</f>
        <v/>
      </c>
      <c r="G752" s="8">
        <f>IF(A752="","",SUM($F$2:F752))</f>
        <v/>
      </c>
      <c r="H752" s="8">
        <f>IF(A752="","",Eingabe!$B$7-G752)</f>
        <v/>
      </c>
      <c r="I752" s="8">
        <f>IF(A752="","",Eingabe!$B$8-SUMIFS($F$2:F752,$D$2:D752,D752))</f>
        <v/>
      </c>
      <c r="J752" s="8">
        <f>IF(A752="","",IF(E752="",1E+99,IFERROR(VLOOKUP(E752,Eingabe!$D$5:$E$44,2,FALSE),Eingabe!$B$9)))</f>
        <v/>
      </c>
      <c r="K752" s="8">
        <f>IF(A752="","",IF(E752="",1E+99,J752-SUMIFS($F$2:F752,$E$2:E752,E752)))</f>
        <v/>
      </c>
      <c r="L752" s="5">
        <f>IF(A752="","",IF(OR(H752&lt;0,I752&lt;0,K752&lt;0),"UNMOEGLICH","OK"))</f>
        <v/>
      </c>
    </row>
    <row r="753">
      <c r="A753" s="7">
        <f>IF(ROW()-1&lt;=Eingabe!$B$4-Eingabe!$B$3+1,Eingabe!$B$3+ROW()-2,"")</f>
        <v/>
      </c>
      <c r="B753" s="5">
        <f>IF(A753="","",TEXT(A753,"yyyy-mm-dd"))</f>
        <v/>
      </c>
      <c r="C753" s="5">
        <f>IF(A753="","",TEXT(A753,"ddd"))</f>
        <v/>
      </c>
      <c r="D753" s="5">
        <f>IF(A753="","",TEXT(A753,"yyyy-mm"))</f>
        <v/>
      </c>
      <c r="E753" s="5">
        <f>IF(A753="","",IF(A753&lt;Eingabe!$B$5,"",INT((A753-Eingabe!$B$5)/(Eingabe!$B$6*7))+1))</f>
        <v/>
      </c>
      <c r="F753" s="8">
        <f>IF(A753="","",SUMPRODUCT((Eingabe!$B$16:$B$165&lt;&gt;"")*(Eingabe!$J$16:$J$165)*--(A753&gt;=Eingabe!$G$16:$G$165)*--(A753&lt;=Eingabe!$H$16:$H$165)*--(WEEKDAY(A753,2)&lt;=5)))</f>
        <v/>
      </c>
      <c r="G753" s="8">
        <f>IF(A753="","",SUM($F$2:F753))</f>
        <v/>
      </c>
      <c r="H753" s="8">
        <f>IF(A753="","",Eingabe!$B$7-G753)</f>
        <v/>
      </c>
      <c r="I753" s="8">
        <f>IF(A753="","",Eingabe!$B$8-SUMIFS($F$2:F753,$D$2:D753,D753))</f>
        <v/>
      </c>
      <c r="J753" s="8">
        <f>IF(A753="","",IF(E753="",1E+99,IFERROR(VLOOKUP(E753,Eingabe!$D$5:$E$44,2,FALSE),Eingabe!$B$9)))</f>
        <v/>
      </c>
      <c r="K753" s="8">
        <f>IF(A753="","",IF(E753="",1E+99,J753-SUMIFS($F$2:F753,$E$2:E753,E753)))</f>
        <v/>
      </c>
      <c r="L753" s="5">
        <f>IF(A753="","",IF(OR(H753&lt;0,I753&lt;0,K753&lt;0),"UNMOEGLICH","OK"))</f>
        <v/>
      </c>
    </row>
    <row r="754">
      <c r="A754" s="7">
        <f>IF(ROW()-1&lt;=Eingabe!$B$4-Eingabe!$B$3+1,Eingabe!$B$3+ROW()-2,"")</f>
        <v/>
      </c>
      <c r="B754" s="5">
        <f>IF(A754="","",TEXT(A754,"yyyy-mm-dd"))</f>
        <v/>
      </c>
      <c r="C754" s="5">
        <f>IF(A754="","",TEXT(A754,"ddd"))</f>
        <v/>
      </c>
      <c r="D754" s="5">
        <f>IF(A754="","",TEXT(A754,"yyyy-mm"))</f>
        <v/>
      </c>
      <c r="E754" s="5">
        <f>IF(A754="","",IF(A754&lt;Eingabe!$B$5,"",INT((A754-Eingabe!$B$5)/(Eingabe!$B$6*7))+1))</f>
        <v/>
      </c>
      <c r="F754" s="8">
        <f>IF(A754="","",SUMPRODUCT((Eingabe!$B$16:$B$165&lt;&gt;"")*(Eingabe!$J$16:$J$165)*--(A754&gt;=Eingabe!$G$16:$G$165)*--(A754&lt;=Eingabe!$H$16:$H$165)*--(WEEKDAY(A754,2)&lt;=5)))</f>
        <v/>
      </c>
      <c r="G754" s="8">
        <f>IF(A754="","",SUM($F$2:F754))</f>
        <v/>
      </c>
      <c r="H754" s="8">
        <f>IF(A754="","",Eingabe!$B$7-G754)</f>
        <v/>
      </c>
      <c r="I754" s="8">
        <f>IF(A754="","",Eingabe!$B$8-SUMIFS($F$2:F754,$D$2:D754,D754))</f>
        <v/>
      </c>
      <c r="J754" s="8">
        <f>IF(A754="","",IF(E754="",1E+99,IFERROR(VLOOKUP(E754,Eingabe!$D$5:$E$44,2,FALSE),Eingabe!$B$9)))</f>
        <v/>
      </c>
      <c r="K754" s="8">
        <f>IF(A754="","",IF(E754="",1E+99,J754-SUMIFS($F$2:F754,$E$2:E754,E754)))</f>
        <v/>
      </c>
      <c r="L754" s="5">
        <f>IF(A754="","",IF(OR(H754&lt;0,I754&lt;0,K754&lt;0),"UNMOEGLICH","OK"))</f>
        <v/>
      </c>
    </row>
    <row r="755">
      <c r="A755" s="7">
        <f>IF(ROW()-1&lt;=Eingabe!$B$4-Eingabe!$B$3+1,Eingabe!$B$3+ROW()-2,"")</f>
        <v/>
      </c>
      <c r="B755" s="5">
        <f>IF(A755="","",TEXT(A755,"yyyy-mm-dd"))</f>
        <v/>
      </c>
      <c r="C755" s="5">
        <f>IF(A755="","",TEXT(A755,"ddd"))</f>
        <v/>
      </c>
      <c r="D755" s="5">
        <f>IF(A755="","",TEXT(A755,"yyyy-mm"))</f>
        <v/>
      </c>
      <c r="E755" s="5">
        <f>IF(A755="","",IF(A755&lt;Eingabe!$B$5,"",INT((A755-Eingabe!$B$5)/(Eingabe!$B$6*7))+1))</f>
        <v/>
      </c>
      <c r="F755" s="8">
        <f>IF(A755="","",SUMPRODUCT((Eingabe!$B$16:$B$165&lt;&gt;"")*(Eingabe!$J$16:$J$165)*--(A755&gt;=Eingabe!$G$16:$G$165)*--(A755&lt;=Eingabe!$H$16:$H$165)*--(WEEKDAY(A755,2)&lt;=5)))</f>
        <v/>
      </c>
      <c r="G755" s="8">
        <f>IF(A755="","",SUM($F$2:F755))</f>
        <v/>
      </c>
      <c r="H755" s="8">
        <f>IF(A755="","",Eingabe!$B$7-G755)</f>
        <v/>
      </c>
      <c r="I755" s="8">
        <f>IF(A755="","",Eingabe!$B$8-SUMIFS($F$2:F755,$D$2:D755,D755))</f>
        <v/>
      </c>
      <c r="J755" s="8">
        <f>IF(A755="","",IF(E755="",1E+99,IFERROR(VLOOKUP(E755,Eingabe!$D$5:$E$44,2,FALSE),Eingabe!$B$9)))</f>
        <v/>
      </c>
      <c r="K755" s="8">
        <f>IF(A755="","",IF(E755="",1E+99,J755-SUMIFS($F$2:F755,$E$2:E755,E755)))</f>
        <v/>
      </c>
      <c r="L755" s="5">
        <f>IF(A755="","",IF(OR(H755&lt;0,I755&lt;0,K755&lt;0),"UNMOEGLICH","OK"))</f>
        <v/>
      </c>
    </row>
    <row r="756">
      <c r="A756" s="7">
        <f>IF(ROW()-1&lt;=Eingabe!$B$4-Eingabe!$B$3+1,Eingabe!$B$3+ROW()-2,"")</f>
        <v/>
      </c>
      <c r="B756" s="5">
        <f>IF(A756="","",TEXT(A756,"yyyy-mm-dd"))</f>
        <v/>
      </c>
      <c r="C756" s="5">
        <f>IF(A756="","",TEXT(A756,"ddd"))</f>
        <v/>
      </c>
      <c r="D756" s="5">
        <f>IF(A756="","",TEXT(A756,"yyyy-mm"))</f>
        <v/>
      </c>
      <c r="E756" s="5">
        <f>IF(A756="","",IF(A756&lt;Eingabe!$B$5,"",INT((A756-Eingabe!$B$5)/(Eingabe!$B$6*7))+1))</f>
        <v/>
      </c>
      <c r="F756" s="8">
        <f>IF(A756="","",SUMPRODUCT((Eingabe!$B$16:$B$165&lt;&gt;"")*(Eingabe!$J$16:$J$165)*--(A756&gt;=Eingabe!$G$16:$G$165)*--(A756&lt;=Eingabe!$H$16:$H$165)*--(WEEKDAY(A756,2)&lt;=5)))</f>
        <v/>
      </c>
      <c r="G756" s="8">
        <f>IF(A756="","",SUM($F$2:F756))</f>
        <v/>
      </c>
      <c r="H756" s="8">
        <f>IF(A756="","",Eingabe!$B$7-G756)</f>
        <v/>
      </c>
      <c r="I756" s="8">
        <f>IF(A756="","",Eingabe!$B$8-SUMIFS($F$2:F756,$D$2:D756,D756))</f>
        <v/>
      </c>
      <c r="J756" s="8">
        <f>IF(A756="","",IF(E756="",1E+99,IFERROR(VLOOKUP(E756,Eingabe!$D$5:$E$44,2,FALSE),Eingabe!$B$9)))</f>
        <v/>
      </c>
      <c r="K756" s="8">
        <f>IF(A756="","",IF(E756="",1E+99,J756-SUMIFS($F$2:F756,$E$2:E756,E756)))</f>
        <v/>
      </c>
      <c r="L756" s="5">
        <f>IF(A756="","",IF(OR(H756&lt;0,I756&lt;0,K756&lt;0),"UNMOEGLICH","OK"))</f>
        <v/>
      </c>
    </row>
    <row r="757">
      <c r="A757" s="7">
        <f>IF(ROW()-1&lt;=Eingabe!$B$4-Eingabe!$B$3+1,Eingabe!$B$3+ROW()-2,"")</f>
        <v/>
      </c>
      <c r="B757" s="5">
        <f>IF(A757="","",TEXT(A757,"yyyy-mm-dd"))</f>
        <v/>
      </c>
      <c r="C757" s="5">
        <f>IF(A757="","",TEXT(A757,"ddd"))</f>
        <v/>
      </c>
      <c r="D757" s="5">
        <f>IF(A757="","",TEXT(A757,"yyyy-mm"))</f>
        <v/>
      </c>
      <c r="E757" s="5">
        <f>IF(A757="","",IF(A757&lt;Eingabe!$B$5,"",INT((A757-Eingabe!$B$5)/(Eingabe!$B$6*7))+1))</f>
        <v/>
      </c>
      <c r="F757" s="8">
        <f>IF(A757="","",SUMPRODUCT((Eingabe!$B$16:$B$165&lt;&gt;"")*(Eingabe!$J$16:$J$165)*--(A757&gt;=Eingabe!$G$16:$G$165)*--(A757&lt;=Eingabe!$H$16:$H$165)*--(WEEKDAY(A757,2)&lt;=5)))</f>
        <v/>
      </c>
      <c r="G757" s="8">
        <f>IF(A757="","",SUM($F$2:F757))</f>
        <v/>
      </c>
      <c r="H757" s="8">
        <f>IF(A757="","",Eingabe!$B$7-G757)</f>
        <v/>
      </c>
      <c r="I757" s="8">
        <f>IF(A757="","",Eingabe!$B$8-SUMIFS($F$2:F757,$D$2:D757,D757))</f>
        <v/>
      </c>
      <c r="J757" s="8">
        <f>IF(A757="","",IF(E757="",1E+99,IFERROR(VLOOKUP(E757,Eingabe!$D$5:$E$44,2,FALSE),Eingabe!$B$9)))</f>
        <v/>
      </c>
      <c r="K757" s="8">
        <f>IF(A757="","",IF(E757="",1E+99,J757-SUMIFS($F$2:F757,$E$2:E757,E757)))</f>
        <v/>
      </c>
      <c r="L757" s="5">
        <f>IF(A757="","",IF(OR(H757&lt;0,I757&lt;0,K757&lt;0),"UNMOEGLICH","OK"))</f>
        <v/>
      </c>
    </row>
    <row r="758">
      <c r="A758" s="7">
        <f>IF(ROW()-1&lt;=Eingabe!$B$4-Eingabe!$B$3+1,Eingabe!$B$3+ROW()-2,"")</f>
        <v/>
      </c>
      <c r="B758" s="5">
        <f>IF(A758="","",TEXT(A758,"yyyy-mm-dd"))</f>
        <v/>
      </c>
      <c r="C758" s="5">
        <f>IF(A758="","",TEXT(A758,"ddd"))</f>
        <v/>
      </c>
      <c r="D758" s="5">
        <f>IF(A758="","",TEXT(A758,"yyyy-mm"))</f>
        <v/>
      </c>
      <c r="E758" s="5">
        <f>IF(A758="","",IF(A758&lt;Eingabe!$B$5,"",INT((A758-Eingabe!$B$5)/(Eingabe!$B$6*7))+1))</f>
        <v/>
      </c>
      <c r="F758" s="8">
        <f>IF(A758="","",SUMPRODUCT((Eingabe!$B$16:$B$165&lt;&gt;"")*(Eingabe!$J$16:$J$165)*--(A758&gt;=Eingabe!$G$16:$G$165)*--(A758&lt;=Eingabe!$H$16:$H$165)*--(WEEKDAY(A758,2)&lt;=5)))</f>
        <v/>
      </c>
      <c r="G758" s="8">
        <f>IF(A758="","",SUM($F$2:F758))</f>
        <v/>
      </c>
      <c r="H758" s="8">
        <f>IF(A758="","",Eingabe!$B$7-G758)</f>
        <v/>
      </c>
      <c r="I758" s="8">
        <f>IF(A758="","",Eingabe!$B$8-SUMIFS($F$2:F758,$D$2:D758,D758))</f>
        <v/>
      </c>
      <c r="J758" s="8">
        <f>IF(A758="","",IF(E758="",1E+99,IFERROR(VLOOKUP(E758,Eingabe!$D$5:$E$44,2,FALSE),Eingabe!$B$9)))</f>
        <v/>
      </c>
      <c r="K758" s="8">
        <f>IF(A758="","",IF(E758="",1E+99,J758-SUMIFS($F$2:F758,$E$2:E758,E758)))</f>
        <v/>
      </c>
      <c r="L758" s="5">
        <f>IF(A758="","",IF(OR(H758&lt;0,I758&lt;0,K758&lt;0),"UNMOEGLICH","OK"))</f>
        <v/>
      </c>
    </row>
    <row r="759">
      <c r="A759" s="7">
        <f>IF(ROW()-1&lt;=Eingabe!$B$4-Eingabe!$B$3+1,Eingabe!$B$3+ROW()-2,"")</f>
        <v/>
      </c>
      <c r="B759" s="5">
        <f>IF(A759="","",TEXT(A759,"yyyy-mm-dd"))</f>
        <v/>
      </c>
      <c r="C759" s="5">
        <f>IF(A759="","",TEXT(A759,"ddd"))</f>
        <v/>
      </c>
      <c r="D759" s="5">
        <f>IF(A759="","",TEXT(A759,"yyyy-mm"))</f>
        <v/>
      </c>
      <c r="E759" s="5">
        <f>IF(A759="","",IF(A759&lt;Eingabe!$B$5,"",INT((A759-Eingabe!$B$5)/(Eingabe!$B$6*7))+1))</f>
        <v/>
      </c>
      <c r="F759" s="8">
        <f>IF(A759="","",SUMPRODUCT((Eingabe!$B$16:$B$165&lt;&gt;"")*(Eingabe!$J$16:$J$165)*--(A759&gt;=Eingabe!$G$16:$G$165)*--(A759&lt;=Eingabe!$H$16:$H$165)*--(WEEKDAY(A759,2)&lt;=5)))</f>
        <v/>
      </c>
      <c r="G759" s="8">
        <f>IF(A759="","",SUM($F$2:F759))</f>
        <v/>
      </c>
      <c r="H759" s="8">
        <f>IF(A759="","",Eingabe!$B$7-G759)</f>
        <v/>
      </c>
      <c r="I759" s="8">
        <f>IF(A759="","",Eingabe!$B$8-SUMIFS($F$2:F759,$D$2:D759,D759))</f>
        <v/>
      </c>
      <c r="J759" s="8">
        <f>IF(A759="","",IF(E759="",1E+99,IFERROR(VLOOKUP(E759,Eingabe!$D$5:$E$44,2,FALSE),Eingabe!$B$9)))</f>
        <v/>
      </c>
      <c r="K759" s="8">
        <f>IF(A759="","",IF(E759="",1E+99,J759-SUMIFS($F$2:F759,$E$2:E759,E759)))</f>
        <v/>
      </c>
      <c r="L759" s="5">
        <f>IF(A759="","",IF(OR(H759&lt;0,I759&lt;0,K759&lt;0),"UNMOEGLICH","OK"))</f>
        <v/>
      </c>
    </row>
    <row r="760">
      <c r="A760" s="7">
        <f>IF(ROW()-1&lt;=Eingabe!$B$4-Eingabe!$B$3+1,Eingabe!$B$3+ROW()-2,"")</f>
        <v/>
      </c>
      <c r="B760" s="5">
        <f>IF(A760="","",TEXT(A760,"yyyy-mm-dd"))</f>
        <v/>
      </c>
      <c r="C760" s="5">
        <f>IF(A760="","",TEXT(A760,"ddd"))</f>
        <v/>
      </c>
      <c r="D760" s="5">
        <f>IF(A760="","",TEXT(A760,"yyyy-mm"))</f>
        <v/>
      </c>
      <c r="E760" s="5">
        <f>IF(A760="","",IF(A760&lt;Eingabe!$B$5,"",INT((A760-Eingabe!$B$5)/(Eingabe!$B$6*7))+1))</f>
        <v/>
      </c>
      <c r="F760" s="8">
        <f>IF(A760="","",SUMPRODUCT((Eingabe!$B$16:$B$165&lt;&gt;"")*(Eingabe!$J$16:$J$165)*--(A760&gt;=Eingabe!$G$16:$G$165)*--(A760&lt;=Eingabe!$H$16:$H$165)*--(WEEKDAY(A760,2)&lt;=5)))</f>
        <v/>
      </c>
      <c r="G760" s="8">
        <f>IF(A760="","",SUM($F$2:F760))</f>
        <v/>
      </c>
      <c r="H760" s="8">
        <f>IF(A760="","",Eingabe!$B$7-G760)</f>
        <v/>
      </c>
      <c r="I760" s="8">
        <f>IF(A760="","",Eingabe!$B$8-SUMIFS($F$2:F760,$D$2:D760,D760))</f>
        <v/>
      </c>
      <c r="J760" s="8">
        <f>IF(A760="","",IF(E760="",1E+99,IFERROR(VLOOKUP(E760,Eingabe!$D$5:$E$44,2,FALSE),Eingabe!$B$9)))</f>
        <v/>
      </c>
      <c r="K760" s="8">
        <f>IF(A760="","",IF(E760="",1E+99,J760-SUMIFS($F$2:F760,$E$2:E760,E760)))</f>
        <v/>
      </c>
      <c r="L760" s="5">
        <f>IF(A760="","",IF(OR(H760&lt;0,I760&lt;0,K760&lt;0),"UNMOEGLICH","OK"))</f>
        <v/>
      </c>
    </row>
    <row r="761">
      <c r="A761" s="7">
        <f>IF(ROW()-1&lt;=Eingabe!$B$4-Eingabe!$B$3+1,Eingabe!$B$3+ROW()-2,"")</f>
        <v/>
      </c>
      <c r="B761" s="5">
        <f>IF(A761="","",TEXT(A761,"yyyy-mm-dd"))</f>
        <v/>
      </c>
      <c r="C761" s="5">
        <f>IF(A761="","",TEXT(A761,"ddd"))</f>
        <v/>
      </c>
      <c r="D761" s="5">
        <f>IF(A761="","",TEXT(A761,"yyyy-mm"))</f>
        <v/>
      </c>
      <c r="E761" s="5">
        <f>IF(A761="","",IF(A761&lt;Eingabe!$B$5,"",INT((A761-Eingabe!$B$5)/(Eingabe!$B$6*7))+1))</f>
        <v/>
      </c>
      <c r="F761" s="8">
        <f>IF(A761="","",SUMPRODUCT((Eingabe!$B$16:$B$165&lt;&gt;"")*(Eingabe!$J$16:$J$165)*--(A761&gt;=Eingabe!$G$16:$G$165)*--(A761&lt;=Eingabe!$H$16:$H$165)*--(WEEKDAY(A761,2)&lt;=5)))</f>
        <v/>
      </c>
      <c r="G761" s="8">
        <f>IF(A761="","",SUM($F$2:F761))</f>
        <v/>
      </c>
      <c r="H761" s="8">
        <f>IF(A761="","",Eingabe!$B$7-G761)</f>
        <v/>
      </c>
      <c r="I761" s="8">
        <f>IF(A761="","",Eingabe!$B$8-SUMIFS($F$2:F761,$D$2:D761,D761))</f>
        <v/>
      </c>
      <c r="J761" s="8">
        <f>IF(A761="","",IF(E761="",1E+99,IFERROR(VLOOKUP(E761,Eingabe!$D$5:$E$44,2,FALSE),Eingabe!$B$9)))</f>
        <v/>
      </c>
      <c r="K761" s="8">
        <f>IF(A761="","",IF(E761="",1E+99,J761-SUMIFS($F$2:F761,$E$2:E761,E761)))</f>
        <v/>
      </c>
      <c r="L761" s="5">
        <f>IF(A761="","",IF(OR(H761&lt;0,I761&lt;0,K761&lt;0),"UNMOEGLICH","OK"))</f>
        <v/>
      </c>
    </row>
    <row r="762">
      <c r="A762" s="7">
        <f>IF(ROW()-1&lt;=Eingabe!$B$4-Eingabe!$B$3+1,Eingabe!$B$3+ROW()-2,"")</f>
        <v/>
      </c>
      <c r="B762" s="5">
        <f>IF(A762="","",TEXT(A762,"yyyy-mm-dd"))</f>
        <v/>
      </c>
      <c r="C762" s="5">
        <f>IF(A762="","",TEXT(A762,"ddd"))</f>
        <v/>
      </c>
      <c r="D762" s="5">
        <f>IF(A762="","",TEXT(A762,"yyyy-mm"))</f>
        <v/>
      </c>
      <c r="E762" s="5">
        <f>IF(A762="","",IF(A762&lt;Eingabe!$B$5,"",INT((A762-Eingabe!$B$5)/(Eingabe!$B$6*7))+1))</f>
        <v/>
      </c>
      <c r="F762" s="8">
        <f>IF(A762="","",SUMPRODUCT((Eingabe!$B$16:$B$165&lt;&gt;"")*(Eingabe!$J$16:$J$165)*--(A762&gt;=Eingabe!$G$16:$G$165)*--(A762&lt;=Eingabe!$H$16:$H$165)*--(WEEKDAY(A762,2)&lt;=5)))</f>
        <v/>
      </c>
      <c r="G762" s="8">
        <f>IF(A762="","",SUM($F$2:F762))</f>
        <v/>
      </c>
      <c r="H762" s="8">
        <f>IF(A762="","",Eingabe!$B$7-G762)</f>
        <v/>
      </c>
      <c r="I762" s="8">
        <f>IF(A762="","",Eingabe!$B$8-SUMIFS($F$2:F762,$D$2:D762,D762))</f>
        <v/>
      </c>
      <c r="J762" s="8">
        <f>IF(A762="","",IF(E762="",1E+99,IFERROR(VLOOKUP(E762,Eingabe!$D$5:$E$44,2,FALSE),Eingabe!$B$9)))</f>
        <v/>
      </c>
      <c r="K762" s="8">
        <f>IF(A762="","",IF(E762="",1E+99,J762-SUMIFS($F$2:F762,$E$2:E762,E762)))</f>
        <v/>
      </c>
      <c r="L762" s="5">
        <f>IF(A762="","",IF(OR(H762&lt;0,I762&lt;0,K762&lt;0),"UNMOEGLICH","OK"))</f>
        <v/>
      </c>
    </row>
    <row r="763">
      <c r="A763" s="7">
        <f>IF(ROW()-1&lt;=Eingabe!$B$4-Eingabe!$B$3+1,Eingabe!$B$3+ROW()-2,"")</f>
        <v/>
      </c>
      <c r="B763" s="5">
        <f>IF(A763="","",TEXT(A763,"yyyy-mm-dd"))</f>
        <v/>
      </c>
      <c r="C763" s="5">
        <f>IF(A763="","",TEXT(A763,"ddd"))</f>
        <v/>
      </c>
      <c r="D763" s="5">
        <f>IF(A763="","",TEXT(A763,"yyyy-mm"))</f>
        <v/>
      </c>
      <c r="E763" s="5">
        <f>IF(A763="","",IF(A763&lt;Eingabe!$B$5,"",INT((A763-Eingabe!$B$5)/(Eingabe!$B$6*7))+1))</f>
        <v/>
      </c>
      <c r="F763" s="8">
        <f>IF(A763="","",SUMPRODUCT((Eingabe!$B$16:$B$165&lt;&gt;"")*(Eingabe!$J$16:$J$165)*--(A763&gt;=Eingabe!$G$16:$G$165)*--(A763&lt;=Eingabe!$H$16:$H$165)*--(WEEKDAY(A763,2)&lt;=5)))</f>
        <v/>
      </c>
      <c r="G763" s="8">
        <f>IF(A763="","",SUM($F$2:F763))</f>
        <v/>
      </c>
      <c r="H763" s="8">
        <f>IF(A763="","",Eingabe!$B$7-G763)</f>
        <v/>
      </c>
      <c r="I763" s="8">
        <f>IF(A763="","",Eingabe!$B$8-SUMIFS($F$2:F763,$D$2:D763,D763))</f>
        <v/>
      </c>
      <c r="J763" s="8">
        <f>IF(A763="","",IF(E763="",1E+99,IFERROR(VLOOKUP(E763,Eingabe!$D$5:$E$44,2,FALSE),Eingabe!$B$9)))</f>
        <v/>
      </c>
      <c r="K763" s="8">
        <f>IF(A763="","",IF(E763="",1E+99,J763-SUMIFS($F$2:F763,$E$2:E763,E763)))</f>
        <v/>
      </c>
      <c r="L763" s="5">
        <f>IF(A763="","",IF(OR(H763&lt;0,I763&lt;0,K763&lt;0),"UNMOEGLICH","OK"))</f>
        <v/>
      </c>
    </row>
    <row r="764">
      <c r="A764" s="7">
        <f>IF(ROW()-1&lt;=Eingabe!$B$4-Eingabe!$B$3+1,Eingabe!$B$3+ROW()-2,"")</f>
        <v/>
      </c>
      <c r="B764" s="5">
        <f>IF(A764="","",TEXT(A764,"yyyy-mm-dd"))</f>
        <v/>
      </c>
      <c r="C764" s="5">
        <f>IF(A764="","",TEXT(A764,"ddd"))</f>
        <v/>
      </c>
      <c r="D764" s="5">
        <f>IF(A764="","",TEXT(A764,"yyyy-mm"))</f>
        <v/>
      </c>
      <c r="E764" s="5">
        <f>IF(A764="","",IF(A764&lt;Eingabe!$B$5,"",INT((A764-Eingabe!$B$5)/(Eingabe!$B$6*7))+1))</f>
        <v/>
      </c>
      <c r="F764" s="8">
        <f>IF(A764="","",SUMPRODUCT((Eingabe!$B$16:$B$165&lt;&gt;"")*(Eingabe!$J$16:$J$165)*--(A764&gt;=Eingabe!$G$16:$G$165)*--(A764&lt;=Eingabe!$H$16:$H$165)*--(WEEKDAY(A764,2)&lt;=5)))</f>
        <v/>
      </c>
      <c r="G764" s="8">
        <f>IF(A764="","",SUM($F$2:F764))</f>
        <v/>
      </c>
      <c r="H764" s="8">
        <f>IF(A764="","",Eingabe!$B$7-G764)</f>
        <v/>
      </c>
      <c r="I764" s="8">
        <f>IF(A764="","",Eingabe!$B$8-SUMIFS($F$2:F764,$D$2:D764,D764))</f>
        <v/>
      </c>
      <c r="J764" s="8">
        <f>IF(A764="","",IF(E764="",1E+99,IFERROR(VLOOKUP(E764,Eingabe!$D$5:$E$44,2,FALSE),Eingabe!$B$9)))</f>
        <v/>
      </c>
      <c r="K764" s="8">
        <f>IF(A764="","",IF(E764="",1E+99,J764-SUMIFS($F$2:F764,$E$2:E764,E764)))</f>
        <v/>
      </c>
      <c r="L764" s="5">
        <f>IF(A764="","",IF(OR(H764&lt;0,I764&lt;0,K764&lt;0),"UNMOEGLICH","OK"))</f>
        <v/>
      </c>
    </row>
    <row r="765">
      <c r="A765" s="7">
        <f>IF(ROW()-1&lt;=Eingabe!$B$4-Eingabe!$B$3+1,Eingabe!$B$3+ROW()-2,"")</f>
        <v/>
      </c>
      <c r="B765" s="5">
        <f>IF(A765="","",TEXT(A765,"yyyy-mm-dd"))</f>
        <v/>
      </c>
      <c r="C765" s="5">
        <f>IF(A765="","",TEXT(A765,"ddd"))</f>
        <v/>
      </c>
      <c r="D765" s="5">
        <f>IF(A765="","",TEXT(A765,"yyyy-mm"))</f>
        <v/>
      </c>
      <c r="E765" s="5">
        <f>IF(A765="","",IF(A765&lt;Eingabe!$B$5,"",INT((A765-Eingabe!$B$5)/(Eingabe!$B$6*7))+1))</f>
        <v/>
      </c>
      <c r="F765" s="8">
        <f>IF(A765="","",SUMPRODUCT((Eingabe!$B$16:$B$165&lt;&gt;"")*(Eingabe!$J$16:$J$165)*--(A765&gt;=Eingabe!$G$16:$G$165)*--(A765&lt;=Eingabe!$H$16:$H$165)*--(WEEKDAY(A765,2)&lt;=5)))</f>
        <v/>
      </c>
      <c r="G765" s="8">
        <f>IF(A765="","",SUM($F$2:F765))</f>
        <v/>
      </c>
      <c r="H765" s="8">
        <f>IF(A765="","",Eingabe!$B$7-G765)</f>
        <v/>
      </c>
      <c r="I765" s="8">
        <f>IF(A765="","",Eingabe!$B$8-SUMIFS($F$2:F765,$D$2:D765,D765))</f>
        <v/>
      </c>
      <c r="J765" s="8">
        <f>IF(A765="","",IF(E765="",1E+99,IFERROR(VLOOKUP(E765,Eingabe!$D$5:$E$44,2,FALSE),Eingabe!$B$9)))</f>
        <v/>
      </c>
      <c r="K765" s="8">
        <f>IF(A765="","",IF(E765="",1E+99,J765-SUMIFS($F$2:F765,$E$2:E765,E765)))</f>
        <v/>
      </c>
      <c r="L765" s="5">
        <f>IF(A765="","",IF(OR(H765&lt;0,I765&lt;0,K765&lt;0),"UNMOEGLICH","OK"))</f>
        <v/>
      </c>
    </row>
    <row r="766">
      <c r="A766" s="7">
        <f>IF(ROW()-1&lt;=Eingabe!$B$4-Eingabe!$B$3+1,Eingabe!$B$3+ROW()-2,"")</f>
        <v/>
      </c>
      <c r="B766" s="5">
        <f>IF(A766="","",TEXT(A766,"yyyy-mm-dd"))</f>
        <v/>
      </c>
      <c r="C766" s="5">
        <f>IF(A766="","",TEXT(A766,"ddd"))</f>
        <v/>
      </c>
      <c r="D766" s="5">
        <f>IF(A766="","",TEXT(A766,"yyyy-mm"))</f>
        <v/>
      </c>
      <c r="E766" s="5">
        <f>IF(A766="","",IF(A766&lt;Eingabe!$B$5,"",INT((A766-Eingabe!$B$5)/(Eingabe!$B$6*7))+1))</f>
        <v/>
      </c>
      <c r="F766" s="8">
        <f>IF(A766="","",SUMPRODUCT((Eingabe!$B$16:$B$165&lt;&gt;"")*(Eingabe!$J$16:$J$165)*--(A766&gt;=Eingabe!$G$16:$G$165)*--(A766&lt;=Eingabe!$H$16:$H$165)*--(WEEKDAY(A766,2)&lt;=5)))</f>
        <v/>
      </c>
      <c r="G766" s="8">
        <f>IF(A766="","",SUM($F$2:F766))</f>
        <v/>
      </c>
      <c r="H766" s="8">
        <f>IF(A766="","",Eingabe!$B$7-G766)</f>
        <v/>
      </c>
      <c r="I766" s="8">
        <f>IF(A766="","",Eingabe!$B$8-SUMIFS($F$2:F766,$D$2:D766,D766))</f>
        <v/>
      </c>
      <c r="J766" s="8">
        <f>IF(A766="","",IF(E766="",1E+99,IFERROR(VLOOKUP(E766,Eingabe!$D$5:$E$44,2,FALSE),Eingabe!$B$9)))</f>
        <v/>
      </c>
      <c r="K766" s="8">
        <f>IF(A766="","",IF(E766="",1E+99,J766-SUMIFS($F$2:F766,$E$2:E766,E766)))</f>
        <v/>
      </c>
      <c r="L766" s="5">
        <f>IF(A766="","",IF(OR(H766&lt;0,I766&lt;0,K766&lt;0),"UNMOEGLICH","OK"))</f>
        <v/>
      </c>
    </row>
    <row r="767">
      <c r="A767" s="7">
        <f>IF(ROW()-1&lt;=Eingabe!$B$4-Eingabe!$B$3+1,Eingabe!$B$3+ROW()-2,"")</f>
        <v/>
      </c>
      <c r="B767" s="5">
        <f>IF(A767="","",TEXT(A767,"yyyy-mm-dd"))</f>
        <v/>
      </c>
      <c r="C767" s="5">
        <f>IF(A767="","",TEXT(A767,"ddd"))</f>
        <v/>
      </c>
      <c r="D767" s="5">
        <f>IF(A767="","",TEXT(A767,"yyyy-mm"))</f>
        <v/>
      </c>
      <c r="E767" s="5">
        <f>IF(A767="","",IF(A767&lt;Eingabe!$B$5,"",INT((A767-Eingabe!$B$5)/(Eingabe!$B$6*7))+1))</f>
        <v/>
      </c>
      <c r="F767" s="8">
        <f>IF(A767="","",SUMPRODUCT((Eingabe!$B$16:$B$165&lt;&gt;"")*(Eingabe!$J$16:$J$165)*--(A767&gt;=Eingabe!$G$16:$G$165)*--(A767&lt;=Eingabe!$H$16:$H$165)*--(WEEKDAY(A767,2)&lt;=5)))</f>
        <v/>
      </c>
      <c r="G767" s="8">
        <f>IF(A767="","",SUM($F$2:F767))</f>
        <v/>
      </c>
      <c r="H767" s="8">
        <f>IF(A767="","",Eingabe!$B$7-G767)</f>
        <v/>
      </c>
      <c r="I767" s="8">
        <f>IF(A767="","",Eingabe!$B$8-SUMIFS($F$2:F767,$D$2:D767,D767))</f>
        <v/>
      </c>
      <c r="J767" s="8">
        <f>IF(A767="","",IF(E767="",1E+99,IFERROR(VLOOKUP(E767,Eingabe!$D$5:$E$44,2,FALSE),Eingabe!$B$9)))</f>
        <v/>
      </c>
      <c r="K767" s="8">
        <f>IF(A767="","",IF(E767="",1E+99,J767-SUMIFS($F$2:F767,$E$2:E767,E767)))</f>
        <v/>
      </c>
      <c r="L767" s="5">
        <f>IF(A767="","",IF(OR(H767&lt;0,I767&lt;0,K767&lt;0),"UNMOEGLICH","OK"))</f>
        <v/>
      </c>
    </row>
    <row r="768">
      <c r="A768" s="7">
        <f>IF(ROW()-1&lt;=Eingabe!$B$4-Eingabe!$B$3+1,Eingabe!$B$3+ROW()-2,"")</f>
        <v/>
      </c>
      <c r="B768" s="5">
        <f>IF(A768="","",TEXT(A768,"yyyy-mm-dd"))</f>
        <v/>
      </c>
      <c r="C768" s="5">
        <f>IF(A768="","",TEXT(A768,"ddd"))</f>
        <v/>
      </c>
      <c r="D768" s="5">
        <f>IF(A768="","",TEXT(A768,"yyyy-mm"))</f>
        <v/>
      </c>
      <c r="E768" s="5">
        <f>IF(A768="","",IF(A768&lt;Eingabe!$B$5,"",INT((A768-Eingabe!$B$5)/(Eingabe!$B$6*7))+1))</f>
        <v/>
      </c>
      <c r="F768" s="8">
        <f>IF(A768="","",SUMPRODUCT((Eingabe!$B$16:$B$165&lt;&gt;"")*(Eingabe!$J$16:$J$165)*--(A768&gt;=Eingabe!$G$16:$G$165)*--(A768&lt;=Eingabe!$H$16:$H$165)*--(WEEKDAY(A768,2)&lt;=5)))</f>
        <v/>
      </c>
      <c r="G768" s="8">
        <f>IF(A768="","",SUM($F$2:F768))</f>
        <v/>
      </c>
      <c r="H768" s="8">
        <f>IF(A768="","",Eingabe!$B$7-G768)</f>
        <v/>
      </c>
      <c r="I768" s="8">
        <f>IF(A768="","",Eingabe!$B$8-SUMIFS($F$2:F768,$D$2:D768,D768))</f>
        <v/>
      </c>
      <c r="J768" s="8">
        <f>IF(A768="","",IF(E768="",1E+99,IFERROR(VLOOKUP(E768,Eingabe!$D$5:$E$44,2,FALSE),Eingabe!$B$9)))</f>
        <v/>
      </c>
      <c r="K768" s="8">
        <f>IF(A768="","",IF(E768="",1E+99,J768-SUMIFS($F$2:F768,$E$2:E768,E768)))</f>
        <v/>
      </c>
      <c r="L768" s="5">
        <f>IF(A768="","",IF(OR(H768&lt;0,I768&lt;0,K768&lt;0),"UNMOEGLICH","OK"))</f>
        <v/>
      </c>
    </row>
    <row r="769">
      <c r="A769" s="7">
        <f>IF(ROW()-1&lt;=Eingabe!$B$4-Eingabe!$B$3+1,Eingabe!$B$3+ROW()-2,"")</f>
        <v/>
      </c>
      <c r="B769" s="5">
        <f>IF(A769="","",TEXT(A769,"yyyy-mm-dd"))</f>
        <v/>
      </c>
      <c r="C769" s="5">
        <f>IF(A769="","",TEXT(A769,"ddd"))</f>
        <v/>
      </c>
      <c r="D769" s="5">
        <f>IF(A769="","",TEXT(A769,"yyyy-mm"))</f>
        <v/>
      </c>
      <c r="E769" s="5">
        <f>IF(A769="","",IF(A769&lt;Eingabe!$B$5,"",INT((A769-Eingabe!$B$5)/(Eingabe!$B$6*7))+1))</f>
        <v/>
      </c>
      <c r="F769" s="8">
        <f>IF(A769="","",SUMPRODUCT((Eingabe!$B$16:$B$165&lt;&gt;"")*(Eingabe!$J$16:$J$165)*--(A769&gt;=Eingabe!$G$16:$G$165)*--(A769&lt;=Eingabe!$H$16:$H$165)*--(WEEKDAY(A769,2)&lt;=5)))</f>
        <v/>
      </c>
      <c r="G769" s="8">
        <f>IF(A769="","",SUM($F$2:F769))</f>
        <v/>
      </c>
      <c r="H769" s="8">
        <f>IF(A769="","",Eingabe!$B$7-G769)</f>
        <v/>
      </c>
      <c r="I769" s="8">
        <f>IF(A769="","",Eingabe!$B$8-SUMIFS($F$2:F769,$D$2:D769,D769))</f>
        <v/>
      </c>
      <c r="J769" s="8">
        <f>IF(A769="","",IF(E769="",1E+99,IFERROR(VLOOKUP(E769,Eingabe!$D$5:$E$44,2,FALSE),Eingabe!$B$9)))</f>
        <v/>
      </c>
      <c r="K769" s="8">
        <f>IF(A769="","",IF(E769="",1E+99,J769-SUMIFS($F$2:F769,$E$2:E769,E769)))</f>
        <v/>
      </c>
      <c r="L769" s="5">
        <f>IF(A769="","",IF(OR(H769&lt;0,I769&lt;0,K769&lt;0),"UNMOEGLICH","OK"))</f>
        <v/>
      </c>
    </row>
    <row r="770">
      <c r="A770" s="7">
        <f>IF(ROW()-1&lt;=Eingabe!$B$4-Eingabe!$B$3+1,Eingabe!$B$3+ROW()-2,"")</f>
        <v/>
      </c>
      <c r="B770" s="5">
        <f>IF(A770="","",TEXT(A770,"yyyy-mm-dd"))</f>
        <v/>
      </c>
      <c r="C770" s="5">
        <f>IF(A770="","",TEXT(A770,"ddd"))</f>
        <v/>
      </c>
      <c r="D770" s="5">
        <f>IF(A770="","",TEXT(A770,"yyyy-mm"))</f>
        <v/>
      </c>
      <c r="E770" s="5">
        <f>IF(A770="","",IF(A770&lt;Eingabe!$B$5,"",INT((A770-Eingabe!$B$5)/(Eingabe!$B$6*7))+1))</f>
        <v/>
      </c>
      <c r="F770" s="8">
        <f>IF(A770="","",SUMPRODUCT((Eingabe!$B$16:$B$165&lt;&gt;"")*(Eingabe!$J$16:$J$165)*--(A770&gt;=Eingabe!$G$16:$G$165)*--(A770&lt;=Eingabe!$H$16:$H$165)*--(WEEKDAY(A770,2)&lt;=5)))</f>
        <v/>
      </c>
      <c r="G770" s="8">
        <f>IF(A770="","",SUM($F$2:F770))</f>
        <v/>
      </c>
      <c r="H770" s="8">
        <f>IF(A770="","",Eingabe!$B$7-G770)</f>
        <v/>
      </c>
      <c r="I770" s="8">
        <f>IF(A770="","",Eingabe!$B$8-SUMIFS($F$2:F770,$D$2:D770,D770))</f>
        <v/>
      </c>
      <c r="J770" s="8">
        <f>IF(A770="","",IF(E770="",1E+99,IFERROR(VLOOKUP(E770,Eingabe!$D$5:$E$44,2,FALSE),Eingabe!$B$9)))</f>
        <v/>
      </c>
      <c r="K770" s="8">
        <f>IF(A770="","",IF(E770="",1E+99,J770-SUMIFS($F$2:F770,$E$2:E770,E770)))</f>
        <v/>
      </c>
      <c r="L770" s="5">
        <f>IF(A770="","",IF(OR(H770&lt;0,I770&lt;0,K770&lt;0),"UNMOEGLICH","OK"))</f>
        <v/>
      </c>
    </row>
    <row r="771">
      <c r="A771" s="7">
        <f>IF(ROW()-1&lt;=Eingabe!$B$4-Eingabe!$B$3+1,Eingabe!$B$3+ROW()-2,"")</f>
        <v/>
      </c>
      <c r="B771" s="5">
        <f>IF(A771="","",TEXT(A771,"yyyy-mm-dd"))</f>
        <v/>
      </c>
      <c r="C771" s="5">
        <f>IF(A771="","",TEXT(A771,"ddd"))</f>
        <v/>
      </c>
      <c r="D771" s="5">
        <f>IF(A771="","",TEXT(A771,"yyyy-mm"))</f>
        <v/>
      </c>
      <c r="E771" s="5">
        <f>IF(A771="","",IF(A771&lt;Eingabe!$B$5,"",INT((A771-Eingabe!$B$5)/(Eingabe!$B$6*7))+1))</f>
        <v/>
      </c>
      <c r="F771" s="8">
        <f>IF(A771="","",SUMPRODUCT((Eingabe!$B$16:$B$165&lt;&gt;"")*(Eingabe!$J$16:$J$165)*--(A771&gt;=Eingabe!$G$16:$G$165)*--(A771&lt;=Eingabe!$H$16:$H$165)*--(WEEKDAY(A771,2)&lt;=5)))</f>
        <v/>
      </c>
      <c r="G771" s="8">
        <f>IF(A771="","",SUM($F$2:F771))</f>
        <v/>
      </c>
      <c r="H771" s="8">
        <f>IF(A771="","",Eingabe!$B$7-G771)</f>
        <v/>
      </c>
      <c r="I771" s="8">
        <f>IF(A771="","",Eingabe!$B$8-SUMIFS($F$2:F771,$D$2:D771,D771))</f>
        <v/>
      </c>
      <c r="J771" s="8">
        <f>IF(A771="","",IF(E771="",1E+99,IFERROR(VLOOKUP(E771,Eingabe!$D$5:$E$44,2,FALSE),Eingabe!$B$9)))</f>
        <v/>
      </c>
      <c r="K771" s="8">
        <f>IF(A771="","",IF(E771="",1E+99,J771-SUMIFS($F$2:F771,$E$2:E771,E771)))</f>
        <v/>
      </c>
      <c r="L771" s="5">
        <f>IF(A771="","",IF(OR(H771&lt;0,I771&lt;0,K771&lt;0),"UNMOEGLICH","OK"))</f>
        <v/>
      </c>
    </row>
    <row r="772">
      <c r="A772" s="7">
        <f>IF(ROW()-1&lt;=Eingabe!$B$4-Eingabe!$B$3+1,Eingabe!$B$3+ROW()-2,"")</f>
        <v/>
      </c>
      <c r="B772" s="5">
        <f>IF(A772="","",TEXT(A772,"yyyy-mm-dd"))</f>
        <v/>
      </c>
      <c r="C772" s="5">
        <f>IF(A772="","",TEXT(A772,"ddd"))</f>
        <v/>
      </c>
      <c r="D772" s="5">
        <f>IF(A772="","",TEXT(A772,"yyyy-mm"))</f>
        <v/>
      </c>
      <c r="E772" s="5">
        <f>IF(A772="","",IF(A772&lt;Eingabe!$B$5,"",INT((A772-Eingabe!$B$5)/(Eingabe!$B$6*7))+1))</f>
        <v/>
      </c>
      <c r="F772" s="8">
        <f>IF(A772="","",SUMPRODUCT((Eingabe!$B$16:$B$165&lt;&gt;"")*(Eingabe!$J$16:$J$165)*--(A772&gt;=Eingabe!$G$16:$G$165)*--(A772&lt;=Eingabe!$H$16:$H$165)*--(WEEKDAY(A772,2)&lt;=5)))</f>
        <v/>
      </c>
      <c r="G772" s="8">
        <f>IF(A772="","",SUM($F$2:F772))</f>
        <v/>
      </c>
      <c r="H772" s="8">
        <f>IF(A772="","",Eingabe!$B$7-G772)</f>
        <v/>
      </c>
      <c r="I772" s="8">
        <f>IF(A772="","",Eingabe!$B$8-SUMIFS($F$2:F772,$D$2:D772,D772))</f>
        <v/>
      </c>
      <c r="J772" s="8">
        <f>IF(A772="","",IF(E772="",1E+99,IFERROR(VLOOKUP(E772,Eingabe!$D$5:$E$44,2,FALSE),Eingabe!$B$9)))</f>
        <v/>
      </c>
      <c r="K772" s="8">
        <f>IF(A772="","",IF(E772="",1E+99,J772-SUMIFS($F$2:F772,$E$2:E772,E772)))</f>
        <v/>
      </c>
      <c r="L772" s="5">
        <f>IF(A772="","",IF(OR(H772&lt;0,I772&lt;0,K772&lt;0),"UNMOEGLICH","OK"))</f>
        <v/>
      </c>
    </row>
    <row r="773">
      <c r="A773" s="7">
        <f>IF(ROW()-1&lt;=Eingabe!$B$4-Eingabe!$B$3+1,Eingabe!$B$3+ROW()-2,"")</f>
        <v/>
      </c>
      <c r="B773" s="5">
        <f>IF(A773="","",TEXT(A773,"yyyy-mm-dd"))</f>
        <v/>
      </c>
      <c r="C773" s="5">
        <f>IF(A773="","",TEXT(A773,"ddd"))</f>
        <v/>
      </c>
      <c r="D773" s="5">
        <f>IF(A773="","",TEXT(A773,"yyyy-mm"))</f>
        <v/>
      </c>
      <c r="E773" s="5">
        <f>IF(A773="","",IF(A773&lt;Eingabe!$B$5,"",INT((A773-Eingabe!$B$5)/(Eingabe!$B$6*7))+1))</f>
        <v/>
      </c>
      <c r="F773" s="8">
        <f>IF(A773="","",SUMPRODUCT((Eingabe!$B$16:$B$165&lt;&gt;"")*(Eingabe!$J$16:$J$165)*--(A773&gt;=Eingabe!$G$16:$G$165)*--(A773&lt;=Eingabe!$H$16:$H$165)*--(WEEKDAY(A773,2)&lt;=5)))</f>
        <v/>
      </c>
      <c r="G773" s="8">
        <f>IF(A773="","",SUM($F$2:F773))</f>
        <v/>
      </c>
      <c r="H773" s="8">
        <f>IF(A773="","",Eingabe!$B$7-G773)</f>
        <v/>
      </c>
      <c r="I773" s="8">
        <f>IF(A773="","",Eingabe!$B$8-SUMIFS($F$2:F773,$D$2:D773,D773))</f>
        <v/>
      </c>
      <c r="J773" s="8">
        <f>IF(A773="","",IF(E773="",1E+99,IFERROR(VLOOKUP(E773,Eingabe!$D$5:$E$44,2,FALSE),Eingabe!$B$9)))</f>
        <v/>
      </c>
      <c r="K773" s="8">
        <f>IF(A773="","",IF(E773="",1E+99,J773-SUMIFS($F$2:F773,$E$2:E773,E773)))</f>
        <v/>
      </c>
      <c r="L773" s="5">
        <f>IF(A773="","",IF(OR(H773&lt;0,I773&lt;0,K773&lt;0),"UNMOEGLICH","OK"))</f>
        <v/>
      </c>
    </row>
    <row r="774">
      <c r="A774" s="7">
        <f>IF(ROW()-1&lt;=Eingabe!$B$4-Eingabe!$B$3+1,Eingabe!$B$3+ROW()-2,"")</f>
        <v/>
      </c>
      <c r="B774" s="5">
        <f>IF(A774="","",TEXT(A774,"yyyy-mm-dd"))</f>
        <v/>
      </c>
      <c r="C774" s="5">
        <f>IF(A774="","",TEXT(A774,"ddd"))</f>
        <v/>
      </c>
      <c r="D774" s="5">
        <f>IF(A774="","",TEXT(A774,"yyyy-mm"))</f>
        <v/>
      </c>
      <c r="E774" s="5">
        <f>IF(A774="","",IF(A774&lt;Eingabe!$B$5,"",INT((A774-Eingabe!$B$5)/(Eingabe!$B$6*7))+1))</f>
        <v/>
      </c>
      <c r="F774" s="8">
        <f>IF(A774="","",SUMPRODUCT((Eingabe!$B$16:$B$165&lt;&gt;"")*(Eingabe!$J$16:$J$165)*--(A774&gt;=Eingabe!$G$16:$G$165)*--(A774&lt;=Eingabe!$H$16:$H$165)*--(WEEKDAY(A774,2)&lt;=5)))</f>
        <v/>
      </c>
      <c r="G774" s="8">
        <f>IF(A774="","",SUM($F$2:F774))</f>
        <v/>
      </c>
      <c r="H774" s="8">
        <f>IF(A774="","",Eingabe!$B$7-G774)</f>
        <v/>
      </c>
      <c r="I774" s="8">
        <f>IF(A774="","",Eingabe!$B$8-SUMIFS($F$2:F774,$D$2:D774,D774))</f>
        <v/>
      </c>
      <c r="J774" s="8">
        <f>IF(A774="","",IF(E774="",1E+99,IFERROR(VLOOKUP(E774,Eingabe!$D$5:$E$44,2,FALSE),Eingabe!$B$9)))</f>
        <v/>
      </c>
      <c r="K774" s="8">
        <f>IF(A774="","",IF(E774="",1E+99,J774-SUMIFS($F$2:F774,$E$2:E774,E774)))</f>
        <v/>
      </c>
      <c r="L774" s="5">
        <f>IF(A774="","",IF(OR(H774&lt;0,I774&lt;0,K774&lt;0),"UNMOEGLICH","OK"))</f>
        <v/>
      </c>
    </row>
    <row r="775">
      <c r="A775" s="7">
        <f>IF(ROW()-1&lt;=Eingabe!$B$4-Eingabe!$B$3+1,Eingabe!$B$3+ROW()-2,"")</f>
        <v/>
      </c>
      <c r="B775" s="5">
        <f>IF(A775="","",TEXT(A775,"yyyy-mm-dd"))</f>
        <v/>
      </c>
      <c r="C775" s="5">
        <f>IF(A775="","",TEXT(A775,"ddd"))</f>
        <v/>
      </c>
      <c r="D775" s="5">
        <f>IF(A775="","",TEXT(A775,"yyyy-mm"))</f>
        <v/>
      </c>
      <c r="E775" s="5">
        <f>IF(A775="","",IF(A775&lt;Eingabe!$B$5,"",INT((A775-Eingabe!$B$5)/(Eingabe!$B$6*7))+1))</f>
        <v/>
      </c>
      <c r="F775" s="8">
        <f>IF(A775="","",SUMPRODUCT((Eingabe!$B$16:$B$165&lt;&gt;"")*(Eingabe!$J$16:$J$165)*--(A775&gt;=Eingabe!$G$16:$G$165)*--(A775&lt;=Eingabe!$H$16:$H$165)*--(WEEKDAY(A775,2)&lt;=5)))</f>
        <v/>
      </c>
      <c r="G775" s="8">
        <f>IF(A775="","",SUM($F$2:F775))</f>
        <v/>
      </c>
      <c r="H775" s="8">
        <f>IF(A775="","",Eingabe!$B$7-G775)</f>
        <v/>
      </c>
      <c r="I775" s="8">
        <f>IF(A775="","",Eingabe!$B$8-SUMIFS($F$2:F775,$D$2:D775,D775))</f>
        <v/>
      </c>
      <c r="J775" s="8">
        <f>IF(A775="","",IF(E775="",1E+99,IFERROR(VLOOKUP(E775,Eingabe!$D$5:$E$44,2,FALSE),Eingabe!$B$9)))</f>
        <v/>
      </c>
      <c r="K775" s="8">
        <f>IF(A775="","",IF(E775="",1E+99,J775-SUMIFS($F$2:F775,$E$2:E775,E775)))</f>
        <v/>
      </c>
      <c r="L775" s="5">
        <f>IF(A775="","",IF(OR(H775&lt;0,I775&lt;0,K775&lt;0),"UNMOEGLICH","OK"))</f>
        <v/>
      </c>
    </row>
    <row r="776">
      <c r="A776" s="7">
        <f>IF(ROW()-1&lt;=Eingabe!$B$4-Eingabe!$B$3+1,Eingabe!$B$3+ROW()-2,"")</f>
        <v/>
      </c>
      <c r="B776" s="5">
        <f>IF(A776="","",TEXT(A776,"yyyy-mm-dd"))</f>
        <v/>
      </c>
      <c r="C776" s="5">
        <f>IF(A776="","",TEXT(A776,"ddd"))</f>
        <v/>
      </c>
      <c r="D776" s="5">
        <f>IF(A776="","",TEXT(A776,"yyyy-mm"))</f>
        <v/>
      </c>
      <c r="E776" s="5">
        <f>IF(A776="","",IF(A776&lt;Eingabe!$B$5,"",INT((A776-Eingabe!$B$5)/(Eingabe!$B$6*7))+1))</f>
        <v/>
      </c>
      <c r="F776" s="8">
        <f>IF(A776="","",SUMPRODUCT((Eingabe!$B$16:$B$165&lt;&gt;"")*(Eingabe!$J$16:$J$165)*--(A776&gt;=Eingabe!$G$16:$G$165)*--(A776&lt;=Eingabe!$H$16:$H$165)*--(WEEKDAY(A776,2)&lt;=5)))</f>
        <v/>
      </c>
      <c r="G776" s="8">
        <f>IF(A776="","",SUM($F$2:F776))</f>
        <v/>
      </c>
      <c r="H776" s="8">
        <f>IF(A776="","",Eingabe!$B$7-G776)</f>
        <v/>
      </c>
      <c r="I776" s="8">
        <f>IF(A776="","",Eingabe!$B$8-SUMIFS($F$2:F776,$D$2:D776,D776))</f>
        <v/>
      </c>
      <c r="J776" s="8">
        <f>IF(A776="","",IF(E776="",1E+99,IFERROR(VLOOKUP(E776,Eingabe!$D$5:$E$44,2,FALSE),Eingabe!$B$9)))</f>
        <v/>
      </c>
      <c r="K776" s="8">
        <f>IF(A776="","",IF(E776="",1E+99,J776-SUMIFS($F$2:F776,$E$2:E776,E776)))</f>
        <v/>
      </c>
      <c r="L776" s="5">
        <f>IF(A776="","",IF(OR(H776&lt;0,I776&lt;0,K776&lt;0),"UNMOEGLICH","OK"))</f>
        <v/>
      </c>
    </row>
    <row r="777">
      <c r="A777" s="7">
        <f>IF(ROW()-1&lt;=Eingabe!$B$4-Eingabe!$B$3+1,Eingabe!$B$3+ROW()-2,"")</f>
        <v/>
      </c>
      <c r="B777" s="5">
        <f>IF(A777="","",TEXT(A777,"yyyy-mm-dd"))</f>
        <v/>
      </c>
      <c r="C777" s="5">
        <f>IF(A777="","",TEXT(A777,"ddd"))</f>
        <v/>
      </c>
      <c r="D777" s="5">
        <f>IF(A777="","",TEXT(A777,"yyyy-mm"))</f>
        <v/>
      </c>
      <c r="E777" s="5">
        <f>IF(A777="","",IF(A777&lt;Eingabe!$B$5,"",INT((A777-Eingabe!$B$5)/(Eingabe!$B$6*7))+1))</f>
        <v/>
      </c>
      <c r="F777" s="8">
        <f>IF(A777="","",SUMPRODUCT((Eingabe!$B$16:$B$165&lt;&gt;"")*(Eingabe!$J$16:$J$165)*--(A777&gt;=Eingabe!$G$16:$G$165)*--(A777&lt;=Eingabe!$H$16:$H$165)*--(WEEKDAY(A777,2)&lt;=5)))</f>
        <v/>
      </c>
      <c r="G777" s="8">
        <f>IF(A777="","",SUM($F$2:F777))</f>
        <v/>
      </c>
      <c r="H777" s="8">
        <f>IF(A777="","",Eingabe!$B$7-G777)</f>
        <v/>
      </c>
      <c r="I777" s="8">
        <f>IF(A777="","",Eingabe!$B$8-SUMIFS($F$2:F777,$D$2:D777,D777))</f>
        <v/>
      </c>
      <c r="J777" s="8">
        <f>IF(A777="","",IF(E777="",1E+99,IFERROR(VLOOKUP(E777,Eingabe!$D$5:$E$44,2,FALSE),Eingabe!$B$9)))</f>
        <v/>
      </c>
      <c r="K777" s="8">
        <f>IF(A777="","",IF(E777="",1E+99,J777-SUMIFS($F$2:F777,$E$2:E777,E777)))</f>
        <v/>
      </c>
      <c r="L777" s="5">
        <f>IF(A777="","",IF(OR(H777&lt;0,I777&lt;0,K777&lt;0),"UNMOEGLICH","OK"))</f>
        <v/>
      </c>
    </row>
    <row r="778">
      <c r="A778" s="7">
        <f>IF(ROW()-1&lt;=Eingabe!$B$4-Eingabe!$B$3+1,Eingabe!$B$3+ROW()-2,"")</f>
        <v/>
      </c>
      <c r="B778" s="5">
        <f>IF(A778="","",TEXT(A778,"yyyy-mm-dd"))</f>
        <v/>
      </c>
      <c r="C778" s="5">
        <f>IF(A778="","",TEXT(A778,"ddd"))</f>
        <v/>
      </c>
      <c r="D778" s="5">
        <f>IF(A778="","",TEXT(A778,"yyyy-mm"))</f>
        <v/>
      </c>
      <c r="E778" s="5">
        <f>IF(A778="","",IF(A778&lt;Eingabe!$B$5,"",INT((A778-Eingabe!$B$5)/(Eingabe!$B$6*7))+1))</f>
        <v/>
      </c>
      <c r="F778" s="8">
        <f>IF(A778="","",SUMPRODUCT((Eingabe!$B$16:$B$165&lt;&gt;"")*(Eingabe!$J$16:$J$165)*--(A778&gt;=Eingabe!$G$16:$G$165)*--(A778&lt;=Eingabe!$H$16:$H$165)*--(WEEKDAY(A778,2)&lt;=5)))</f>
        <v/>
      </c>
      <c r="G778" s="8">
        <f>IF(A778="","",SUM($F$2:F778))</f>
        <v/>
      </c>
      <c r="H778" s="8">
        <f>IF(A778="","",Eingabe!$B$7-G778)</f>
        <v/>
      </c>
      <c r="I778" s="8">
        <f>IF(A778="","",Eingabe!$B$8-SUMIFS($F$2:F778,$D$2:D778,D778))</f>
        <v/>
      </c>
      <c r="J778" s="8">
        <f>IF(A778="","",IF(E778="",1E+99,IFERROR(VLOOKUP(E778,Eingabe!$D$5:$E$44,2,FALSE),Eingabe!$B$9)))</f>
        <v/>
      </c>
      <c r="K778" s="8">
        <f>IF(A778="","",IF(E778="",1E+99,J778-SUMIFS($F$2:F778,$E$2:E778,E778)))</f>
        <v/>
      </c>
      <c r="L778" s="5">
        <f>IF(A778="","",IF(OR(H778&lt;0,I778&lt;0,K778&lt;0),"UNMOEGLICH","OK"))</f>
        <v/>
      </c>
    </row>
    <row r="779">
      <c r="A779" s="7">
        <f>IF(ROW()-1&lt;=Eingabe!$B$4-Eingabe!$B$3+1,Eingabe!$B$3+ROW()-2,"")</f>
        <v/>
      </c>
      <c r="B779" s="5">
        <f>IF(A779="","",TEXT(A779,"yyyy-mm-dd"))</f>
        <v/>
      </c>
      <c r="C779" s="5">
        <f>IF(A779="","",TEXT(A779,"ddd"))</f>
        <v/>
      </c>
      <c r="D779" s="5">
        <f>IF(A779="","",TEXT(A779,"yyyy-mm"))</f>
        <v/>
      </c>
      <c r="E779" s="5">
        <f>IF(A779="","",IF(A779&lt;Eingabe!$B$5,"",INT((A779-Eingabe!$B$5)/(Eingabe!$B$6*7))+1))</f>
        <v/>
      </c>
      <c r="F779" s="8">
        <f>IF(A779="","",SUMPRODUCT((Eingabe!$B$16:$B$165&lt;&gt;"")*(Eingabe!$J$16:$J$165)*--(A779&gt;=Eingabe!$G$16:$G$165)*--(A779&lt;=Eingabe!$H$16:$H$165)*--(WEEKDAY(A779,2)&lt;=5)))</f>
        <v/>
      </c>
      <c r="G779" s="8">
        <f>IF(A779="","",SUM($F$2:F779))</f>
        <v/>
      </c>
      <c r="H779" s="8">
        <f>IF(A779="","",Eingabe!$B$7-G779)</f>
        <v/>
      </c>
      <c r="I779" s="8">
        <f>IF(A779="","",Eingabe!$B$8-SUMIFS($F$2:F779,$D$2:D779,D779))</f>
        <v/>
      </c>
      <c r="J779" s="8">
        <f>IF(A779="","",IF(E779="",1E+99,IFERROR(VLOOKUP(E779,Eingabe!$D$5:$E$44,2,FALSE),Eingabe!$B$9)))</f>
        <v/>
      </c>
      <c r="K779" s="8">
        <f>IF(A779="","",IF(E779="",1E+99,J779-SUMIFS($F$2:F779,$E$2:E779,E779)))</f>
        <v/>
      </c>
      <c r="L779" s="5">
        <f>IF(A779="","",IF(OR(H779&lt;0,I779&lt;0,K779&lt;0),"UNMOEGLICH","OK"))</f>
        <v/>
      </c>
    </row>
    <row r="780">
      <c r="A780" s="7">
        <f>IF(ROW()-1&lt;=Eingabe!$B$4-Eingabe!$B$3+1,Eingabe!$B$3+ROW()-2,"")</f>
        <v/>
      </c>
      <c r="B780" s="5">
        <f>IF(A780="","",TEXT(A780,"yyyy-mm-dd"))</f>
        <v/>
      </c>
      <c r="C780" s="5">
        <f>IF(A780="","",TEXT(A780,"ddd"))</f>
        <v/>
      </c>
      <c r="D780" s="5">
        <f>IF(A780="","",TEXT(A780,"yyyy-mm"))</f>
        <v/>
      </c>
      <c r="E780" s="5">
        <f>IF(A780="","",IF(A780&lt;Eingabe!$B$5,"",INT((A780-Eingabe!$B$5)/(Eingabe!$B$6*7))+1))</f>
        <v/>
      </c>
      <c r="F780" s="8">
        <f>IF(A780="","",SUMPRODUCT((Eingabe!$B$16:$B$165&lt;&gt;"")*(Eingabe!$J$16:$J$165)*--(A780&gt;=Eingabe!$G$16:$G$165)*--(A780&lt;=Eingabe!$H$16:$H$165)*--(WEEKDAY(A780,2)&lt;=5)))</f>
        <v/>
      </c>
      <c r="G780" s="8">
        <f>IF(A780="","",SUM($F$2:F780))</f>
        <v/>
      </c>
      <c r="H780" s="8">
        <f>IF(A780="","",Eingabe!$B$7-G780)</f>
        <v/>
      </c>
      <c r="I780" s="8">
        <f>IF(A780="","",Eingabe!$B$8-SUMIFS($F$2:F780,$D$2:D780,D780))</f>
        <v/>
      </c>
      <c r="J780" s="8">
        <f>IF(A780="","",IF(E780="",1E+99,IFERROR(VLOOKUP(E780,Eingabe!$D$5:$E$44,2,FALSE),Eingabe!$B$9)))</f>
        <v/>
      </c>
      <c r="K780" s="8">
        <f>IF(A780="","",IF(E780="",1E+99,J780-SUMIFS($F$2:F780,$E$2:E780,E780)))</f>
        <v/>
      </c>
      <c r="L780" s="5">
        <f>IF(A780="","",IF(OR(H780&lt;0,I780&lt;0,K780&lt;0),"UNMOEGLICH","OK"))</f>
        <v/>
      </c>
    </row>
    <row r="781">
      <c r="A781" s="7">
        <f>IF(ROW()-1&lt;=Eingabe!$B$4-Eingabe!$B$3+1,Eingabe!$B$3+ROW()-2,"")</f>
        <v/>
      </c>
      <c r="B781" s="5">
        <f>IF(A781="","",TEXT(A781,"yyyy-mm-dd"))</f>
        <v/>
      </c>
      <c r="C781" s="5">
        <f>IF(A781="","",TEXT(A781,"ddd"))</f>
        <v/>
      </c>
      <c r="D781" s="5">
        <f>IF(A781="","",TEXT(A781,"yyyy-mm"))</f>
        <v/>
      </c>
      <c r="E781" s="5">
        <f>IF(A781="","",IF(A781&lt;Eingabe!$B$5,"",INT((A781-Eingabe!$B$5)/(Eingabe!$B$6*7))+1))</f>
        <v/>
      </c>
      <c r="F781" s="8">
        <f>IF(A781="","",SUMPRODUCT((Eingabe!$B$16:$B$165&lt;&gt;"")*(Eingabe!$J$16:$J$165)*--(A781&gt;=Eingabe!$G$16:$G$165)*--(A781&lt;=Eingabe!$H$16:$H$165)*--(WEEKDAY(A781,2)&lt;=5)))</f>
        <v/>
      </c>
      <c r="G781" s="8">
        <f>IF(A781="","",SUM($F$2:F781))</f>
        <v/>
      </c>
      <c r="H781" s="8">
        <f>IF(A781="","",Eingabe!$B$7-G781)</f>
        <v/>
      </c>
      <c r="I781" s="8">
        <f>IF(A781="","",Eingabe!$B$8-SUMIFS($F$2:F781,$D$2:D781,D781))</f>
        <v/>
      </c>
      <c r="J781" s="8">
        <f>IF(A781="","",IF(E781="",1E+99,IFERROR(VLOOKUP(E781,Eingabe!$D$5:$E$44,2,FALSE),Eingabe!$B$9)))</f>
        <v/>
      </c>
      <c r="K781" s="8">
        <f>IF(A781="","",IF(E781="",1E+99,J781-SUMIFS($F$2:F781,$E$2:E781,E781)))</f>
        <v/>
      </c>
      <c r="L781" s="5">
        <f>IF(A781="","",IF(OR(H781&lt;0,I781&lt;0,K781&lt;0),"UNMOEGLICH","OK"))</f>
        <v/>
      </c>
    </row>
    <row r="782">
      <c r="A782" s="7">
        <f>IF(ROW()-1&lt;=Eingabe!$B$4-Eingabe!$B$3+1,Eingabe!$B$3+ROW()-2,"")</f>
        <v/>
      </c>
      <c r="B782" s="5">
        <f>IF(A782="","",TEXT(A782,"yyyy-mm-dd"))</f>
        <v/>
      </c>
      <c r="C782" s="5">
        <f>IF(A782="","",TEXT(A782,"ddd"))</f>
        <v/>
      </c>
      <c r="D782" s="5">
        <f>IF(A782="","",TEXT(A782,"yyyy-mm"))</f>
        <v/>
      </c>
      <c r="E782" s="5">
        <f>IF(A782="","",IF(A782&lt;Eingabe!$B$5,"",INT((A782-Eingabe!$B$5)/(Eingabe!$B$6*7))+1))</f>
        <v/>
      </c>
      <c r="F782" s="8">
        <f>IF(A782="","",SUMPRODUCT((Eingabe!$B$16:$B$165&lt;&gt;"")*(Eingabe!$J$16:$J$165)*--(A782&gt;=Eingabe!$G$16:$G$165)*--(A782&lt;=Eingabe!$H$16:$H$165)*--(WEEKDAY(A782,2)&lt;=5)))</f>
        <v/>
      </c>
      <c r="G782" s="8">
        <f>IF(A782="","",SUM($F$2:F782))</f>
        <v/>
      </c>
      <c r="H782" s="8">
        <f>IF(A782="","",Eingabe!$B$7-G782)</f>
        <v/>
      </c>
      <c r="I782" s="8">
        <f>IF(A782="","",Eingabe!$B$8-SUMIFS($F$2:F782,$D$2:D782,D782))</f>
        <v/>
      </c>
      <c r="J782" s="8">
        <f>IF(A782="","",IF(E782="",1E+99,IFERROR(VLOOKUP(E782,Eingabe!$D$5:$E$44,2,FALSE),Eingabe!$B$9)))</f>
        <v/>
      </c>
      <c r="K782" s="8">
        <f>IF(A782="","",IF(E782="",1E+99,J782-SUMIFS($F$2:F782,$E$2:E782,E782)))</f>
        <v/>
      </c>
      <c r="L782" s="5">
        <f>IF(A782="","",IF(OR(H782&lt;0,I782&lt;0,K782&lt;0),"UNMOEGLICH","OK"))</f>
        <v/>
      </c>
    </row>
    <row r="783">
      <c r="A783" s="7">
        <f>IF(ROW()-1&lt;=Eingabe!$B$4-Eingabe!$B$3+1,Eingabe!$B$3+ROW()-2,"")</f>
        <v/>
      </c>
      <c r="B783" s="5">
        <f>IF(A783="","",TEXT(A783,"yyyy-mm-dd"))</f>
        <v/>
      </c>
      <c r="C783" s="5">
        <f>IF(A783="","",TEXT(A783,"ddd"))</f>
        <v/>
      </c>
      <c r="D783" s="5">
        <f>IF(A783="","",TEXT(A783,"yyyy-mm"))</f>
        <v/>
      </c>
      <c r="E783" s="5">
        <f>IF(A783="","",IF(A783&lt;Eingabe!$B$5,"",INT((A783-Eingabe!$B$5)/(Eingabe!$B$6*7))+1))</f>
        <v/>
      </c>
      <c r="F783" s="8">
        <f>IF(A783="","",SUMPRODUCT((Eingabe!$B$16:$B$165&lt;&gt;"")*(Eingabe!$J$16:$J$165)*--(A783&gt;=Eingabe!$G$16:$G$165)*--(A783&lt;=Eingabe!$H$16:$H$165)*--(WEEKDAY(A783,2)&lt;=5)))</f>
        <v/>
      </c>
      <c r="G783" s="8">
        <f>IF(A783="","",SUM($F$2:F783))</f>
        <v/>
      </c>
      <c r="H783" s="8">
        <f>IF(A783="","",Eingabe!$B$7-G783)</f>
        <v/>
      </c>
      <c r="I783" s="8">
        <f>IF(A783="","",Eingabe!$B$8-SUMIFS($F$2:F783,$D$2:D783,D783))</f>
        <v/>
      </c>
      <c r="J783" s="8">
        <f>IF(A783="","",IF(E783="",1E+99,IFERROR(VLOOKUP(E783,Eingabe!$D$5:$E$44,2,FALSE),Eingabe!$B$9)))</f>
        <v/>
      </c>
      <c r="K783" s="8">
        <f>IF(A783="","",IF(E783="",1E+99,J783-SUMIFS($F$2:F783,$E$2:E783,E783)))</f>
        <v/>
      </c>
      <c r="L783" s="5">
        <f>IF(A783="","",IF(OR(H783&lt;0,I783&lt;0,K783&lt;0),"UNMOEGLICH","OK"))</f>
        <v/>
      </c>
    </row>
    <row r="784">
      <c r="A784" s="7">
        <f>IF(ROW()-1&lt;=Eingabe!$B$4-Eingabe!$B$3+1,Eingabe!$B$3+ROW()-2,"")</f>
        <v/>
      </c>
      <c r="B784" s="5">
        <f>IF(A784="","",TEXT(A784,"yyyy-mm-dd"))</f>
        <v/>
      </c>
      <c r="C784" s="5">
        <f>IF(A784="","",TEXT(A784,"ddd"))</f>
        <v/>
      </c>
      <c r="D784" s="5">
        <f>IF(A784="","",TEXT(A784,"yyyy-mm"))</f>
        <v/>
      </c>
      <c r="E784" s="5">
        <f>IF(A784="","",IF(A784&lt;Eingabe!$B$5,"",INT((A784-Eingabe!$B$5)/(Eingabe!$B$6*7))+1))</f>
        <v/>
      </c>
      <c r="F784" s="8">
        <f>IF(A784="","",SUMPRODUCT((Eingabe!$B$16:$B$165&lt;&gt;"")*(Eingabe!$J$16:$J$165)*--(A784&gt;=Eingabe!$G$16:$G$165)*--(A784&lt;=Eingabe!$H$16:$H$165)*--(WEEKDAY(A784,2)&lt;=5)))</f>
        <v/>
      </c>
      <c r="G784" s="8">
        <f>IF(A784="","",SUM($F$2:F784))</f>
        <v/>
      </c>
      <c r="H784" s="8">
        <f>IF(A784="","",Eingabe!$B$7-G784)</f>
        <v/>
      </c>
      <c r="I784" s="8">
        <f>IF(A784="","",Eingabe!$B$8-SUMIFS($F$2:F784,$D$2:D784,D784))</f>
        <v/>
      </c>
      <c r="J784" s="8">
        <f>IF(A784="","",IF(E784="",1E+99,IFERROR(VLOOKUP(E784,Eingabe!$D$5:$E$44,2,FALSE),Eingabe!$B$9)))</f>
        <v/>
      </c>
      <c r="K784" s="8">
        <f>IF(A784="","",IF(E784="",1E+99,J784-SUMIFS($F$2:F784,$E$2:E784,E784)))</f>
        <v/>
      </c>
      <c r="L784" s="5">
        <f>IF(A784="","",IF(OR(H784&lt;0,I784&lt;0,K784&lt;0),"UNMOEGLICH","OK"))</f>
        <v/>
      </c>
    </row>
    <row r="785">
      <c r="A785" s="7">
        <f>IF(ROW()-1&lt;=Eingabe!$B$4-Eingabe!$B$3+1,Eingabe!$B$3+ROW()-2,"")</f>
        <v/>
      </c>
      <c r="B785" s="5">
        <f>IF(A785="","",TEXT(A785,"yyyy-mm-dd"))</f>
        <v/>
      </c>
      <c r="C785" s="5">
        <f>IF(A785="","",TEXT(A785,"ddd"))</f>
        <v/>
      </c>
      <c r="D785" s="5">
        <f>IF(A785="","",TEXT(A785,"yyyy-mm"))</f>
        <v/>
      </c>
      <c r="E785" s="5">
        <f>IF(A785="","",IF(A785&lt;Eingabe!$B$5,"",INT((A785-Eingabe!$B$5)/(Eingabe!$B$6*7))+1))</f>
        <v/>
      </c>
      <c r="F785" s="8">
        <f>IF(A785="","",SUMPRODUCT((Eingabe!$B$16:$B$165&lt;&gt;"")*(Eingabe!$J$16:$J$165)*--(A785&gt;=Eingabe!$G$16:$G$165)*--(A785&lt;=Eingabe!$H$16:$H$165)*--(WEEKDAY(A785,2)&lt;=5)))</f>
        <v/>
      </c>
      <c r="G785" s="8">
        <f>IF(A785="","",SUM($F$2:F785))</f>
        <v/>
      </c>
      <c r="H785" s="8">
        <f>IF(A785="","",Eingabe!$B$7-G785)</f>
        <v/>
      </c>
      <c r="I785" s="8">
        <f>IF(A785="","",Eingabe!$B$8-SUMIFS($F$2:F785,$D$2:D785,D785))</f>
        <v/>
      </c>
      <c r="J785" s="8">
        <f>IF(A785="","",IF(E785="",1E+99,IFERROR(VLOOKUP(E785,Eingabe!$D$5:$E$44,2,FALSE),Eingabe!$B$9)))</f>
        <v/>
      </c>
      <c r="K785" s="8">
        <f>IF(A785="","",IF(E785="",1E+99,J785-SUMIFS($F$2:F785,$E$2:E785,E785)))</f>
        <v/>
      </c>
      <c r="L785" s="5">
        <f>IF(A785="","",IF(OR(H785&lt;0,I785&lt;0,K785&lt;0),"UNMOEGLICH","OK"))</f>
        <v/>
      </c>
    </row>
    <row r="786">
      <c r="A786" s="7">
        <f>IF(ROW()-1&lt;=Eingabe!$B$4-Eingabe!$B$3+1,Eingabe!$B$3+ROW()-2,"")</f>
        <v/>
      </c>
      <c r="B786" s="5">
        <f>IF(A786="","",TEXT(A786,"yyyy-mm-dd"))</f>
        <v/>
      </c>
      <c r="C786" s="5">
        <f>IF(A786="","",TEXT(A786,"ddd"))</f>
        <v/>
      </c>
      <c r="D786" s="5">
        <f>IF(A786="","",TEXT(A786,"yyyy-mm"))</f>
        <v/>
      </c>
      <c r="E786" s="5">
        <f>IF(A786="","",IF(A786&lt;Eingabe!$B$5,"",INT((A786-Eingabe!$B$5)/(Eingabe!$B$6*7))+1))</f>
        <v/>
      </c>
      <c r="F786" s="8">
        <f>IF(A786="","",SUMPRODUCT((Eingabe!$B$16:$B$165&lt;&gt;"")*(Eingabe!$J$16:$J$165)*--(A786&gt;=Eingabe!$G$16:$G$165)*--(A786&lt;=Eingabe!$H$16:$H$165)*--(WEEKDAY(A786,2)&lt;=5)))</f>
        <v/>
      </c>
      <c r="G786" s="8">
        <f>IF(A786="","",SUM($F$2:F786))</f>
        <v/>
      </c>
      <c r="H786" s="8">
        <f>IF(A786="","",Eingabe!$B$7-G786)</f>
        <v/>
      </c>
      <c r="I786" s="8">
        <f>IF(A786="","",Eingabe!$B$8-SUMIFS($F$2:F786,$D$2:D786,D786))</f>
        <v/>
      </c>
      <c r="J786" s="8">
        <f>IF(A786="","",IF(E786="",1E+99,IFERROR(VLOOKUP(E786,Eingabe!$D$5:$E$44,2,FALSE),Eingabe!$B$9)))</f>
        <v/>
      </c>
      <c r="K786" s="8">
        <f>IF(A786="","",IF(E786="",1E+99,J786-SUMIFS($F$2:F786,$E$2:E786,E786)))</f>
        <v/>
      </c>
      <c r="L786" s="5">
        <f>IF(A786="","",IF(OR(H786&lt;0,I786&lt;0,K786&lt;0),"UNMOEGLICH","OK"))</f>
        <v/>
      </c>
    </row>
    <row r="787">
      <c r="A787" s="7">
        <f>IF(ROW()-1&lt;=Eingabe!$B$4-Eingabe!$B$3+1,Eingabe!$B$3+ROW()-2,"")</f>
        <v/>
      </c>
      <c r="B787" s="5">
        <f>IF(A787="","",TEXT(A787,"yyyy-mm-dd"))</f>
        <v/>
      </c>
      <c r="C787" s="5">
        <f>IF(A787="","",TEXT(A787,"ddd"))</f>
        <v/>
      </c>
      <c r="D787" s="5">
        <f>IF(A787="","",TEXT(A787,"yyyy-mm"))</f>
        <v/>
      </c>
      <c r="E787" s="5">
        <f>IF(A787="","",IF(A787&lt;Eingabe!$B$5,"",INT((A787-Eingabe!$B$5)/(Eingabe!$B$6*7))+1))</f>
        <v/>
      </c>
      <c r="F787" s="8">
        <f>IF(A787="","",SUMPRODUCT((Eingabe!$B$16:$B$165&lt;&gt;"")*(Eingabe!$J$16:$J$165)*--(A787&gt;=Eingabe!$G$16:$G$165)*--(A787&lt;=Eingabe!$H$16:$H$165)*--(WEEKDAY(A787,2)&lt;=5)))</f>
        <v/>
      </c>
      <c r="G787" s="8">
        <f>IF(A787="","",SUM($F$2:F787))</f>
        <v/>
      </c>
      <c r="H787" s="8">
        <f>IF(A787="","",Eingabe!$B$7-G787)</f>
        <v/>
      </c>
      <c r="I787" s="8">
        <f>IF(A787="","",Eingabe!$B$8-SUMIFS($F$2:F787,$D$2:D787,D787))</f>
        <v/>
      </c>
      <c r="J787" s="8">
        <f>IF(A787="","",IF(E787="",1E+99,IFERROR(VLOOKUP(E787,Eingabe!$D$5:$E$44,2,FALSE),Eingabe!$B$9)))</f>
        <v/>
      </c>
      <c r="K787" s="8">
        <f>IF(A787="","",IF(E787="",1E+99,J787-SUMIFS($F$2:F787,$E$2:E787,E787)))</f>
        <v/>
      </c>
      <c r="L787" s="5">
        <f>IF(A787="","",IF(OR(H787&lt;0,I787&lt;0,K787&lt;0),"UNMOEGLICH","OK"))</f>
        <v/>
      </c>
    </row>
    <row r="788">
      <c r="A788" s="7">
        <f>IF(ROW()-1&lt;=Eingabe!$B$4-Eingabe!$B$3+1,Eingabe!$B$3+ROW()-2,"")</f>
        <v/>
      </c>
      <c r="B788" s="5">
        <f>IF(A788="","",TEXT(A788,"yyyy-mm-dd"))</f>
        <v/>
      </c>
      <c r="C788" s="5">
        <f>IF(A788="","",TEXT(A788,"ddd"))</f>
        <v/>
      </c>
      <c r="D788" s="5">
        <f>IF(A788="","",TEXT(A788,"yyyy-mm"))</f>
        <v/>
      </c>
      <c r="E788" s="5">
        <f>IF(A788="","",IF(A788&lt;Eingabe!$B$5,"",INT((A788-Eingabe!$B$5)/(Eingabe!$B$6*7))+1))</f>
        <v/>
      </c>
      <c r="F788" s="8">
        <f>IF(A788="","",SUMPRODUCT((Eingabe!$B$16:$B$165&lt;&gt;"")*(Eingabe!$J$16:$J$165)*--(A788&gt;=Eingabe!$G$16:$G$165)*--(A788&lt;=Eingabe!$H$16:$H$165)*--(WEEKDAY(A788,2)&lt;=5)))</f>
        <v/>
      </c>
      <c r="G788" s="8">
        <f>IF(A788="","",SUM($F$2:F788))</f>
        <v/>
      </c>
      <c r="H788" s="8">
        <f>IF(A788="","",Eingabe!$B$7-G788)</f>
        <v/>
      </c>
      <c r="I788" s="8">
        <f>IF(A788="","",Eingabe!$B$8-SUMIFS($F$2:F788,$D$2:D788,D788))</f>
        <v/>
      </c>
      <c r="J788" s="8">
        <f>IF(A788="","",IF(E788="",1E+99,IFERROR(VLOOKUP(E788,Eingabe!$D$5:$E$44,2,FALSE),Eingabe!$B$9)))</f>
        <v/>
      </c>
      <c r="K788" s="8">
        <f>IF(A788="","",IF(E788="",1E+99,J788-SUMIFS($F$2:F788,$E$2:E788,E788)))</f>
        <v/>
      </c>
      <c r="L788" s="5">
        <f>IF(A788="","",IF(OR(H788&lt;0,I788&lt;0,K788&lt;0),"UNMOEGLICH","OK"))</f>
        <v/>
      </c>
    </row>
    <row r="789">
      <c r="A789" s="7">
        <f>IF(ROW()-1&lt;=Eingabe!$B$4-Eingabe!$B$3+1,Eingabe!$B$3+ROW()-2,"")</f>
        <v/>
      </c>
      <c r="B789" s="5">
        <f>IF(A789="","",TEXT(A789,"yyyy-mm-dd"))</f>
        <v/>
      </c>
      <c r="C789" s="5">
        <f>IF(A789="","",TEXT(A789,"ddd"))</f>
        <v/>
      </c>
      <c r="D789" s="5">
        <f>IF(A789="","",TEXT(A789,"yyyy-mm"))</f>
        <v/>
      </c>
      <c r="E789" s="5">
        <f>IF(A789="","",IF(A789&lt;Eingabe!$B$5,"",INT((A789-Eingabe!$B$5)/(Eingabe!$B$6*7))+1))</f>
        <v/>
      </c>
      <c r="F789" s="8">
        <f>IF(A789="","",SUMPRODUCT((Eingabe!$B$16:$B$165&lt;&gt;"")*(Eingabe!$J$16:$J$165)*--(A789&gt;=Eingabe!$G$16:$G$165)*--(A789&lt;=Eingabe!$H$16:$H$165)*--(WEEKDAY(A789,2)&lt;=5)))</f>
        <v/>
      </c>
      <c r="G789" s="8">
        <f>IF(A789="","",SUM($F$2:F789))</f>
        <v/>
      </c>
      <c r="H789" s="8">
        <f>IF(A789="","",Eingabe!$B$7-G789)</f>
        <v/>
      </c>
      <c r="I789" s="8">
        <f>IF(A789="","",Eingabe!$B$8-SUMIFS($F$2:F789,$D$2:D789,D789))</f>
        <v/>
      </c>
      <c r="J789" s="8">
        <f>IF(A789="","",IF(E789="",1E+99,IFERROR(VLOOKUP(E789,Eingabe!$D$5:$E$44,2,FALSE),Eingabe!$B$9)))</f>
        <v/>
      </c>
      <c r="K789" s="8">
        <f>IF(A789="","",IF(E789="",1E+99,J789-SUMIFS($F$2:F789,$E$2:E789,E789)))</f>
        <v/>
      </c>
      <c r="L789" s="5">
        <f>IF(A789="","",IF(OR(H789&lt;0,I789&lt;0,K789&lt;0),"UNMOEGLICH","OK"))</f>
        <v/>
      </c>
    </row>
    <row r="790">
      <c r="A790" s="7">
        <f>IF(ROW()-1&lt;=Eingabe!$B$4-Eingabe!$B$3+1,Eingabe!$B$3+ROW()-2,"")</f>
        <v/>
      </c>
      <c r="B790" s="5">
        <f>IF(A790="","",TEXT(A790,"yyyy-mm-dd"))</f>
        <v/>
      </c>
      <c r="C790" s="5">
        <f>IF(A790="","",TEXT(A790,"ddd"))</f>
        <v/>
      </c>
      <c r="D790" s="5">
        <f>IF(A790="","",TEXT(A790,"yyyy-mm"))</f>
        <v/>
      </c>
      <c r="E790" s="5">
        <f>IF(A790="","",IF(A790&lt;Eingabe!$B$5,"",INT((A790-Eingabe!$B$5)/(Eingabe!$B$6*7))+1))</f>
        <v/>
      </c>
      <c r="F790" s="8">
        <f>IF(A790="","",SUMPRODUCT((Eingabe!$B$16:$B$165&lt;&gt;"")*(Eingabe!$J$16:$J$165)*--(A790&gt;=Eingabe!$G$16:$G$165)*--(A790&lt;=Eingabe!$H$16:$H$165)*--(WEEKDAY(A790,2)&lt;=5)))</f>
        <v/>
      </c>
      <c r="G790" s="8">
        <f>IF(A790="","",SUM($F$2:F790))</f>
        <v/>
      </c>
      <c r="H790" s="8">
        <f>IF(A790="","",Eingabe!$B$7-G790)</f>
        <v/>
      </c>
      <c r="I790" s="8">
        <f>IF(A790="","",Eingabe!$B$8-SUMIFS($F$2:F790,$D$2:D790,D790))</f>
        <v/>
      </c>
      <c r="J790" s="8">
        <f>IF(A790="","",IF(E790="",1E+99,IFERROR(VLOOKUP(E790,Eingabe!$D$5:$E$44,2,FALSE),Eingabe!$B$9)))</f>
        <v/>
      </c>
      <c r="K790" s="8">
        <f>IF(A790="","",IF(E790="",1E+99,J790-SUMIFS($F$2:F790,$E$2:E790,E790)))</f>
        <v/>
      </c>
      <c r="L790" s="5">
        <f>IF(A790="","",IF(OR(H790&lt;0,I790&lt;0,K790&lt;0),"UNMOEGLICH","OK"))</f>
        <v/>
      </c>
    </row>
    <row r="791">
      <c r="A791" s="7">
        <f>IF(ROW()-1&lt;=Eingabe!$B$4-Eingabe!$B$3+1,Eingabe!$B$3+ROW()-2,"")</f>
        <v/>
      </c>
      <c r="B791" s="5">
        <f>IF(A791="","",TEXT(A791,"yyyy-mm-dd"))</f>
        <v/>
      </c>
      <c r="C791" s="5">
        <f>IF(A791="","",TEXT(A791,"ddd"))</f>
        <v/>
      </c>
      <c r="D791" s="5">
        <f>IF(A791="","",TEXT(A791,"yyyy-mm"))</f>
        <v/>
      </c>
      <c r="E791" s="5">
        <f>IF(A791="","",IF(A791&lt;Eingabe!$B$5,"",INT((A791-Eingabe!$B$5)/(Eingabe!$B$6*7))+1))</f>
        <v/>
      </c>
      <c r="F791" s="8">
        <f>IF(A791="","",SUMPRODUCT((Eingabe!$B$16:$B$165&lt;&gt;"")*(Eingabe!$J$16:$J$165)*--(A791&gt;=Eingabe!$G$16:$G$165)*--(A791&lt;=Eingabe!$H$16:$H$165)*--(WEEKDAY(A791,2)&lt;=5)))</f>
        <v/>
      </c>
      <c r="G791" s="8">
        <f>IF(A791="","",SUM($F$2:F791))</f>
        <v/>
      </c>
      <c r="H791" s="8">
        <f>IF(A791="","",Eingabe!$B$7-G791)</f>
        <v/>
      </c>
      <c r="I791" s="8">
        <f>IF(A791="","",Eingabe!$B$8-SUMIFS($F$2:F791,$D$2:D791,D791))</f>
        <v/>
      </c>
      <c r="J791" s="8">
        <f>IF(A791="","",IF(E791="",1E+99,IFERROR(VLOOKUP(E791,Eingabe!$D$5:$E$44,2,FALSE),Eingabe!$B$9)))</f>
        <v/>
      </c>
      <c r="K791" s="8">
        <f>IF(A791="","",IF(E791="",1E+99,J791-SUMIFS($F$2:F791,$E$2:E791,E791)))</f>
        <v/>
      </c>
      <c r="L791" s="5">
        <f>IF(A791="","",IF(OR(H791&lt;0,I791&lt;0,K791&lt;0),"UNMOEGLICH","OK"))</f>
        <v/>
      </c>
    </row>
    <row r="792">
      <c r="A792" s="7">
        <f>IF(ROW()-1&lt;=Eingabe!$B$4-Eingabe!$B$3+1,Eingabe!$B$3+ROW()-2,"")</f>
        <v/>
      </c>
      <c r="B792" s="5">
        <f>IF(A792="","",TEXT(A792,"yyyy-mm-dd"))</f>
        <v/>
      </c>
      <c r="C792" s="5">
        <f>IF(A792="","",TEXT(A792,"ddd"))</f>
        <v/>
      </c>
      <c r="D792" s="5">
        <f>IF(A792="","",TEXT(A792,"yyyy-mm"))</f>
        <v/>
      </c>
      <c r="E792" s="5">
        <f>IF(A792="","",IF(A792&lt;Eingabe!$B$5,"",INT((A792-Eingabe!$B$5)/(Eingabe!$B$6*7))+1))</f>
        <v/>
      </c>
      <c r="F792" s="8">
        <f>IF(A792="","",SUMPRODUCT((Eingabe!$B$16:$B$165&lt;&gt;"")*(Eingabe!$J$16:$J$165)*--(A792&gt;=Eingabe!$G$16:$G$165)*--(A792&lt;=Eingabe!$H$16:$H$165)*--(WEEKDAY(A792,2)&lt;=5)))</f>
        <v/>
      </c>
      <c r="G792" s="8">
        <f>IF(A792="","",SUM($F$2:F792))</f>
        <v/>
      </c>
      <c r="H792" s="8">
        <f>IF(A792="","",Eingabe!$B$7-G792)</f>
        <v/>
      </c>
      <c r="I792" s="8">
        <f>IF(A792="","",Eingabe!$B$8-SUMIFS($F$2:F792,$D$2:D792,D792))</f>
        <v/>
      </c>
      <c r="J792" s="8">
        <f>IF(A792="","",IF(E792="",1E+99,IFERROR(VLOOKUP(E792,Eingabe!$D$5:$E$44,2,FALSE),Eingabe!$B$9)))</f>
        <v/>
      </c>
      <c r="K792" s="8">
        <f>IF(A792="","",IF(E792="",1E+99,J792-SUMIFS($F$2:F792,$E$2:E792,E792)))</f>
        <v/>
      </c>
      <c r="L792" s="5">
        <f>IF(A792="","",IF(OR(H792&lt;0,I792&lt;0,K792&lt;0),"UNMOEGLICH","OK"))</f>
        <v/>
      </c>
    </row>
    <row r="793">
      <c r="A793" s="7">
        <f>IF(ROW()-1&lt;=Eingabe!$B$4-Eingabe!$B$3+1,Eingabe!$B$3+ROW()-2,"")</f>
        <v/>
      </c>
      <c r="B793" s="5">
        <f>IF(A793="","",TEXT(A793,"yyyy-mm-dd"))</f>
        <v/>
      </c>
      <c r="C793" s="5">
        <f>IF(A793="","",TEXT(A793,"ddd"))</f>
        <v/>
      </c>
      <c r="D793" s="5">
        <f>IF(A793="","",TEXT(A793,"yyyy-mm"))</f>
        <v/>
      </c>
      <c r="E793" s="5">
        <f>IF(A793="","",IF(A793&lt;Eingabe!$B$5,"",INT((A793-Eingabe!$B$5)/(Eingabe!$B$6*7))+1))</f>
        <v/>
      </c>
      <c r="F793" s="8">
        <f>IF(A793="","",SUMPRODUCT((Eingabe!$B$16:$B$165&lt;&gt;"")*(Eingabe!$J$16:$J$165)*--(A793&gt;=Eingabe!$G$16:$G$165)*--(A793&lt;=Eingabe!$H$16:$H$165)*--(WEEKDAY(A793,2)&lt;=5)))</f>
        <v/>
      </c>
      <c r="G793" s="8">
        <f>IF(A793="","",SUM($F$2:F793))</f>
        <v/>
      </c>
      <c r="H793" s="8">
        <f>IF(A793="","",Eingabe!$B$7-G793)</f>
        <v/>
      </c>
      <c r="I793" s="8">
        <f>IF(A793="","",Eingabe!$B$8-SUMIFS($F$2:F793,$D$2:D793,D793))</f>
        <v/>
      </c>
      <c r="J793" s="8">
        <f>IF(A793="","",IF(E793="",1E+99,IFERROR(VLOOKUP(E793,Eingabe!$D$5:$E$44,2,FALSE),Eingabe!$B$9)))</f>
        <v/>
      </c>
      <c r="K793" s="8">
        <f>IF(A793="","",IF(E793="",1E+99,J793-SUMIFS($F$2:F793,$E$2:E793,E793)))</f>
        <v/>
      </c>
      <c r="L793" s="5">
        <f>IF(A793="","",IF(OR(H793&lt;0,I793&lt;0,K793&lt;0),"UNMOEGLICH","OK"))</f>
        <v/>
      </c>
    </row>
    <row r="794">
      <c r="A794" s="7">
        <f>IF(ROW()-1&lt;=Eingabe!$B$4-Eingabe!$B$3+1,Eingabe!$B$3+ROW()-2,"")</f>
        <v/>
      </c>
      <c r="B794" s="5">
        <f>IF(A794="","",TEXT(A794,"yyyy-mm-dd"))</f>
        <v/>
      </c>
      <c r="C794" s="5">
        <f>IF(A794="","",TEXT(A794,"ddd"))</f>
        <v/>
      </c>
      <c r="D794" s="5">
        <f>IF(A794="","",TEXT(A794,"yyyy-mm"))</f>
        <v/>
      </c>
      <c r="E794" s="5">
        <f>IF(A794="","",IF(A794&lt;Eingabe!$B$5,"",INT((A794-Eingabe!$B$5)/(Eingabe!$B$6*7))+1))</f>
        <v/>
      </c>
      <c r="F794" s="8">
        <f>IF(A794="","",SUMPRODUCT((Eingabe!$B$16:$B$165&lt;&gt;"")*(Eingabe!$J$16:$J$165)*--(A794&gt;=Eingabe!$G$16:$G$165)*--(A794&lt;=Eingabe!$H$16:$H$165)*--(WEEKDAY(A794,2)&lt;=5)))</f>
        <v/>
      </c>
      <c r="G794" s="8">
        <f>IF(A794="","",SUM($F$2:F794))</f>
        <v/>
      </c>
      <c r="H794" s="8">
        <f>IF(A794="","",Eingabe!$B$7-G794)</f>
        <v/>
      </c>
      <c r="I794" s="8">
        <f>IF(A794="","",Eingabe!$B$8-SUMIFS($F$2:F794,$D$2:D794,D794))</f>
        <v/>
      </c>
      <c r="J794" s="8">
        <f>IF(A794="","",IF(E794="",1E+99,IFERROR(VLOOKUP(E794,Eingabe!$D$5:$E$44,2,FALSE),Eingabe!$B$9)))</f>
        <v/>
      </c>
      <c r="K794" s="8">
        <f>IF(A794="","",IF(E794="",1E+99,J794-SUMIFS($F$2:F794,$E$2:E794,E794)))</f>
        <v/>
      </c>
      <c r="L794" s="5">
        <f>IF(A794="","",IF(OR(H794&lt;0,I794&lt;0,K794&lt;0),"UNMOEGLICH","OK"))</f>
        <v/>
      </c>
    </row>
    <row r="795">
      <c r="A795" s="7">
        <f>IF(ROW()-1&lt;=Eingabe!$B$4-Eingabe!$B$3+1,Eingabe!$B$3+ROW()-2,"")</f>
        <v/>
      </c>
      <c r="B795" s="5">
        <f>IF(A795="","",TEXT(A795,"yyyy-mm-dd"))</f>
        <v/>
      </c>
      <c r="C795" s="5">
        <f>IF(A795="","",TEXT(A795,"ddd"))</f>
        <v/>
      </c>
      <c r="D795" s="5">
        <f>IF(A795="","",TEXT(A795,"yyyy-mm"))</f>
        <v/>
      </c>
      <c r="E795" s="5">
        <f>IF(A795="","",IF(A795&lt;Eingabe!$B$5,"",INT((A795-Eingabe!$B$5)/(Eingabe!$B$6*7))+1))</f>
        <v/>
      </c>
      <c r="F795" s="8">
        <f>IF(A795="","",SUMPRODUCT((Eingabe!$B$16:$B$165&lt;&gt;"")*(Eingabe!$J$16:$J$165)*--(A795&gt;=Eingabe!$G$16:$G$165)*--(A795&lt;=Eingabe!$H$16:$H$165)*--(WEEKDAY(A795,2)&lt;=5)))</f>
        <v/>
      </c>
      <c r="G795" s="8">
        <f>IF(A795="","",SUM($F$2:F795))</f>
        <v/>
      </c>
      <c r="H795" s="8">
        <f>IF(A795="","",Eingabe!$B$7-G795)</f>
        <v/>
      </c>
      <c r="I795" s="8">
        <f>IF(A795="","",Eingabe!$B$8-SUMIFS($F$2:F795,$D$2:D795,D795))</f>
        <v/>
      </c>
      <c r="J795" s="8">
        <f>IF(A795="","",IF(E795="",1E+99,IFERROR(VLOOKUP(E795,Eingabe!$D$5:$E$44,2,FALSE),Eingabe!$B$9)))</f>
        <v/>
      </c>
      <c r="K795" s="8">
        <f>IF(A795="","",IF(E795="",1E+99,J795-SUMIFS($F$2:F795,$E$2:E795,E795)))</f>
        <v/>
      </c>
      <c r="L795" s="5">
        <f>IF(A795="","",IF(OR(H795&lt;0,I795&lt;0,K795&lt;0),"UNMOEGLICH","OK"))</f>
        <v/>
      </c>
    </row>
    <row r="796">
      <c r="A796" s="7">
        <f>IF(ROW()-1&lt;=Eingabe!$B$4-Eingabe!$B$3+1,Eingabe!$B$3+ROW()-2,"")</f>
        <v/>
      </c>
      <c r="B796" s="5">
        <f>IF(A796="","",TEXT(A796,"yyyy-mm-dd"))</f>
        <v/>
      </c>
      <c r="C796" s="5">
        <f>IF(A796="","",TEXT(A796,"ddd"))</f>
        <v/>
      </c>
      <c r="D796" s="5">
        <f>IF(A796="","",TEXT(A796,"yyyy-mm"))</f>
        <v/>
      </c>
      <c r="E796" s="5">
        <f>IF(A796="","",IF(A796&lt;Eingabe!$B$5,"",INT((A796-Eingabe!$B$5)/(Eingabe!$B$6*7))+1))</f>
        <v/>
      </c>
      <c r="F796" s="8">
        <f>IF(A796="","",SUMPRODUCT((Eingabe!$B$16:$B$165&lt;&gt;"")*(Eingabe!$J$16:$J$165)*--(A796&gt;=Eingabe!$G$16:$G$165)*--(A796&lt;=Eingabe!$H$16:$H$165)*--(WEEKDAY(A796,2)&lt;=5)))</f>
        <v/>
      </c>
      <c r="G796" s="8">
        <f>IF(A796="","",SUM($F$2:F796))</f>
        <v/>
      </c>
      <c r="H796" s="8">
        <f>IF(A796="","",Eingabe!$B$7-G796)</f>
        <v/>
      </c>
      <c r="I796" s="8">
        <f>IF(A796="","",Eingabe!$B$8-SUMIFS($F$2:F796,$D$2:D796,D796))</f>
        <v/>
      </c>
      <c r="J796" s="8">
        <f>IF(A796="","",IF(E796="",1E+99,IFERROR(VLOOKUP(E796,Eingabe!$D$5:$E$44,2,FALSE),Eingabe!$B$9)))</f>
        <v/>
      </c>
      <c r="K796" s="8">
        <f>IF(A796="","",IF(E796="",1E+99,J796-SUMIFS($F$2:F796,$E$2:E796,E796)))</f>
        <v/>
      </c>
      <c r="L796" s="5">
        <f>IF(A796="","",IF(OR(H796&lt;0,I796&lt;0,K796&lt;0),"UNMOEGLICH","OK"))</f>
        <v/>
      </c>
    </row>
    <row r="797">
      <c r="A797" s="7">
        <f>IF(ROW()-1&lt;=Eingabe!$B$4-Eingabe!$B$3+1,Eingabe!$B$3+ROW()-2,"")</f>
        <v/>
      </c>
      <c r="B797" s="5">
        <f>IF(A797="","",TEXT(A797,"yyyy-mm-dd"))</f>
        <v/>
      </c>
      <c r="C797" s="5">
        <f>IF(A797="","",TEXT(A797,"ddd"))</f>
        <v/>
      </c>
      <c r="D797" s="5">
        <f>IF(A797="","",TEXT(A797,"yyyy-mm"))</f>
        <v/>
      </c>
      <c r="E797" s="5">
        <f>IF(A797="","",IF(A797&lt;Eingabe!$B$5,"",INT((A797-Eingabe!$B$5)/(Eingabe!$B$6*7))+1))</f>
        <v/>
      </c>
      <c r="F797" s="8">
        <f>IF(A797="","",SUMPRODUCT((Eingabe!$B$16:$B$165&lt;&gt;"")*(Eingabe!$J$16:$J$165)*--(A797&gt;=Eingabe!$G$16:$G$165)*--(A797&lt;=Eingabe!$H$16:$H$165)*--(WEEKDAY(A797,2)&lt;=5)))</f>
        <v/>
      </c>
      <c r="G797" s="8">
        <f>IF(A797="","",SUM($F$2:F797))</f>
        <v/>
      </c>
      <c r="H797" s="8">
        <f>IF(A797="","",Eingabe!$B$7-G797)</f>
        <v/>
      </c>
      <c r="I797" s="8">
        <f>IF(A797="","",Eingabe!$B$8-SUMIFS($F$2:F797,$D$2:D797,D797))</f>
        <v/>
      </c>
      <c r="J797" s="8">
        <f>IF(A797="","",IF(E797="",1E+99,IFERROR(VLOOKUP(E797,Eingabe!$D$5:$E$44,2,FALSE),Eingabe!$B$9)))</f>
        <v/>
      </c>
      <c r="K797" s="8">
        <f>IF(A797="","",IF(E797="",1E+99,J797-SUMIFS($F$2:F797,$E$2:E797,E797)))</f>
        <v/>
      </c>
      <c r="L797" s="5">
        <f>IF(A797="","",IF(OR(H797&lt;0,I797&lt;0,K797&lt;0),"UNMOEGLICH","OK"))</f>
        <v/>
      </c>
    </row>
    <row r="798">
      <c r="A798" s="7">
        <f>IF(ROW()-1&lt;=Eingabe!$B$4-Eingabe!$B$3+1,Eingabe!$B$3+ROW()-2,"")</f>
        <v/>
      </c>
      <c r="B798" s="5">
        <f>IF(A798="","",TEXT(A798,"yyyy-mm-dd"))</f>
        <v/>
      </c>
      <c r="C798" s="5">
        <f>IF(A798="","",TEXT(A798,"ddd"))</f>
        <v/>
      </c>
      <c r="D798" s="5">
        <f>IF(A798="","",TEXT(A798,"yyyy-mm"))</f>
        <v/>
      </c>
      <c r="E798" s="5">
        <f>IF(A798="","",IF(A798&lt;Eingabe!$B$5,"",INT((A798-Eingabe!$B$5)/(Eingabe!$B$6*7))+1))</f>
        <v/>
      </c>
      <c r="F798" s="8">
        <f>IF(A798="","",SUMPRODUCT((Eingabe!$B$16:$B$165&lt;&gt;"")*(Eingabe!$J$16:$J$165)*--(A798&gt;=Eingabe!$G$16:$G$165)*--(A798&lt;=Eingabe!$H$16:$H$165)*--(WEEKDAY(A798,2)&lt;=5)))</f>
        <v/>
      </c>
      <c r="G798" s="8">
        <f>IF(A798="","",SUM($F$2:F798))</f>
        <v/>
      </c>
      <c r="H798" s="8">
        <f>IF(A798="","",Eingabe!$B$7-G798)</f>
        <v/>
      </c>
      <c r="I798" s="8">
        <f>IF(A798="","",Eingabe!$B$8-SUMIFS($F$2:F798,$D$2:D798,D798))</f>
        <v/>
      </c>
      <c r="J798" s="8">
        <f>IF(A798="","",IF(E798="",1E+99,IFERROR(VLOOKUP(E798,Eingabe!$D$5:$E$44,2,FALSE),Eingabe!$B$9)))</f>
        <v/>
      </c>
      <c r="K798" s="8">
        <f>IF(A798="","",IF(E798="",1E+99,J798-SUMIFS($F$2:F798,$E$2:E798,E798)))</f>
        <v/>
      </c>
      <c r="L798" s="5">
        <f>IF(A798="","",IF(OR(H798&lt;0,I798&lt;0,K798&lt;0),"UNMOEGLICH","OK"))</f>
        <v/>
      </c>
    </row>
    <row r="799">
      <c r="A799" s="7">
        <f>IF(ROW()-1&lt;=Eingabe!$B$4-Eingabe!$B$3+1,Eingabe!$B$3+ROW()-2,"")</f>
        <v/>
      </c>
      <c r="B799" s="5">
        <f>IF(A799="","",TEXT(A799,"yyyy-mm-dd"))</f>
        <v/>
      </c>
      <c r="C799" s="5">
        <f>IF(A799="","",TEXT(A799,"ddd"))</f>
        <v/>
      </c>
      <c r="D799" s="5">
        <f>IF(A799="","",TEXT(A799,"yyyy-mm"))</f>
        <v/>
      </c>
      <c r="E799" s="5">
        <f>IF(A799="","",IF(A799&lt;Eingabe!$B$5,"",INT((A799-Eingabe!$B$5)/(Eingabe!$B$6*7))+1))</f>
        <v/>
      </c>
      <c r="F799" s="8">
        <f>IF(A799="","",SUMPRODUCT((Eingabe!$B$16:$B$165&lt;&gt;"")*(Eingabe!$J$16:$J$165)*--(A799&gt;=Eingabe!$G$16:$G$165)*--(A799&lt;=Eingabe!$H$16:$H$165)*--(WEEKDAY(A799,2)&lt;=5)))</f>
        <v/>
      </c>
      <c r="G799" s="8">
        <f>IF(A799="","",SUM($F$2:F799))</f>
        <v/>
      </c>
      <c r="H799" s="8">
        <f>IF(A799="","",Eingabe!$B$7-G799)</f>
        <v/>
      </c>
      <c r="I799" s="8">
        <f>IF(A799="","",Eingabe!$B$8-SUMIFS($F$2:F799,$D$2:D799,D799))</f>
        <v/>
      </c>
      <c r="J799" s="8">
        <f>IF(A799="","",IF(E799="",1E+99,IFERROR(VLOOKUP(E799,Eingabe!$D$5:$E$44,2,FALSE),Eingabe!$B$9)))</f>
        <v/>
      </c>
      <c r="K799" s="8">
        <f>IF(A799="","",IF(E799="",1E+99,J799-SUMIFS($F$2:F799,$E$2:E799,E799)))</f>
        <v/>
      </c>
      <c r="L799" s="5">
        <f>IF(A799="","",IF(OR(H799&lt;0,I799&lt;0,K799&lt;0),"UNMOEGLICH","OK"))</f>
        <v/>
      </c>
    </row>
    <row r="800">
      <c r="A800" s="7">
        <f>IF(ROW()-1&lt;=Eingabe!$B$4-Eingabe!$B$3+1,Eingabe!$B$3+ROW()-2,"")</f>
        <v/>
      </c>
      <c r="B800" s="5">
        <f>IF(A800="","",TEXT(A800,"yyyy-mm-dd"))</f>
        <v/>
      </c>
      <c r="C800" s="5">
        <f>IF(A800="","",TEXT(A800,"ddd"))</f>
        <v/>
      </c>
      <c r="D800" s="5">
        <f>IF(A800="","",TEXT(A800,"yyyy-mm"))</f>
        <v/>
      </c>
      <c r="E800" s="5">
        <f>IF(A800="","",IF(A800&lt;Eingabe!$B$5,"",INT((A800-Eingabe!$B$5)/(Eingabe!$B$6*7))+1))</f>
        <v/>
      </c>
      <c r="F800" s="8">
        <f>IF(A800="","",SUMPRODUCT((Eingabe!$B$16:$B$165&lt;&gt;"")*(Eingabe!$J$16:$J$165)*--(A800&gt;=Eingabe!$G$16:$G$165)*--(A800&lt;=Eingabe!$H$16:$H$165)*--(WEEKDAY(A800,2)&lt;=5)))</f>
        <v/>
      </c>
      <c r="G800" s="8">
        <f>IF(A800="","",SUM($F$2:F800))</f>
        <v/>
      </c>
      <c r="H800" s="8">
        <f>IF(A800="","",Eingabe!$B$7-G800)</f>
        <v/>
      </c>
      <c r="I800" s="8">
        <f>IF(A800="","",Eingabe!$B$8-SUMIFS($F$2:F800,$D$2:D800,D800))</f>
        <v/>
      </c>
      <c r="J800" s="8">
        <f>IF(A800="","",IF(E800="",1E+99,IFERROR(VLOOKUP(E800,Eingabe!$D$5:$E$44,2,FALSE),Eingabe!$B$9)))</f>
        <v/>
      </c>
      <c r="K800" s="8">
        <f>IF(A800="","",IF(E800="",1E+99,J800-SUMIFS($F$2:F800,$E$2:E800,E800)))</f>
        <v/>
      </c>
      <c r="L800" s="5">
        <f>IF(A800="","",IF(OR(H800&lt;0,I800&lt;0,K800&lt;0),"UNMOEGLICH","OK"))</f>
        <v/>
      </c>
    </row>
    <row r="801">
      <c r="A801" s="7">
        <f>IF(ROW()-1&lt;=Eingabe!$B$4-Eingabe!$B$3+1,Eingabe!$B$3+ROW()-2,"")</f>
        <v/>
      </c>
      <c r="B801" s="5">
        <f>IF(A801="","",TEXT(A801,"yyyy-mm-dd"))</f>
        <v/>
      </c>
      <c r="C801" s="5">
        <f>IF(A801="","",TEXT(A801,"ddd"))</f>
        <v/>
      </c>
      <c r="D801" s="5">
        <f>IF(A801="","",TEXT(A801,"yyyy-mm"))</f>
        <v/>
      </c>
      <c r="E801" s="5">
        <f>IF(A801="","",IF(A801&lt;Eingabe!$B$5,"",INT((A801-Eingabe!$B$5)/(Eingabe!$B$6*7))+1))</f>
        <v/>
      </c>
      <c r="F801" s="8">
        <f>IF(A801="","",SUMPRODUCT((Eingabe!$B$16:$B$165&lt;&gt;"")*(Eingabe!$J$16:$J$165)*--(A801&gt;=Eingabe!$G$16:$G$165)*--(A801&lt;=Eingabe!$H$16:$H$165)*--(WEEKDAY(A801,2)&lt;=5)))</f>
        <v/>
      </c>
      <c r="G801" s="8">
        <f>IF(A801="","",SUM($F$2:F801))</f>
        <v/>
      </c>
      <c r="H801" s="8">
        <f>IF(A801="","",Eingabe!$B$7-G801)</f>
        <v/>
      </c>
      <c r="I801" s="8">
        <f>IF(A801="","",Eingabe!$B$8-SUMIFS($F$2:F801,$D$2:D801,D801))</f>
        <v/>
      </c>
      <c r="J801" s="8">
        <f>IF(A801="","",IF(E801="",1E+99,IFERROR(VLOOKUP(E801,Eingabe!$D$5:$E$44,2,FALSE),Eingabe!$B$9)))</f>
        <v/>
      </c>
      <c r="K801" s="8">
        <f>IF(A801="","",IF(E801="",1E+99,J801-SUMIFS($F$2:F801,$E$2:E801,E801)))</f>
        <v/>
      </c>
      <c r="L801" s="5">
        <f>IF(A801="","",IF(OR(H801&lt;0,I801&lt;0,K801&lt;0),"UNMOEGLICH","OK"))</f>
        <v/>
      </c>
    </row>
    <row r="802">
      <c r="A802" s="7">
        <f>IF(ROW()-1&lt;=Eingabe!$B$4-Eingabe!$B$3+1,Eingabe!$B$3+ROW()-2,"")</f>
        <v/>
      </c>
      <c r="B802" s="5">
        <f>IF(A802="","",TEXT(A802,"yyyy-mm-dd"))</f>
        <v/>
      </c>
      <c r="C802" s="5">
        <f>IF(A802="","",TEXT(A802,"ddd"))</f>
        <v/>
      </c>
      <c r="D802" s="5">
        <f>IF(A802="","",TEXT(A802,"yyyy-mm"))</f>
        <v/>
      </c>
      <c r="E802" s="5">
        <f>IF(A802="","",IF(A802&lt;Eingabe!$B$5,"",INT((A802-Eingabe!$B$5)/(Eingabe!$B$6*7))+1))</f>
        <v/>
      </c>
      <c r="F802" s="8">
        <f>IF(A802="","",SUMPRODUCT((Eingabe!$B$16:$B$165&lt;&gt;"")*(Eingabe!$J$16:$J$165)*--(A802&gt;=Eingabe!$G$16:$G$165)*--(A802&lt;=Eingabe!$H$16:$H$165)*--(WEEKDAY(A802,2)&lt;=5)))</f>
        <v/>
      </c>
      <c r="G802" s="8">
        <f>IF(A802="","",SUM($F$2:F802))</f>
        <v/>
      </c>
      <c r="H802" s="8">
        <f>IF(A802="","",Eingabe!$B$7-G802)</f>
        <v/>
      </c>
      <c r="I802" s="8">
        <f>IF(A802="","",Eingabe!$B$8-SUMIFS($F$2:F802,$D$2:D802,D802))</f>
        <v/>
      </c>
      <c r="J802" s="8">
        <f>IF(A802="","",IF(E802="",1E+99,IFERROR(VLOOKUP(E802,Eingabe!$D$5:$E$44,2,FALSE),Eingabe!$B$9)))</f>
        <v/>
      </c>
      <c r="K802" s="8">
        <f>IF(A802="","",IF(E802="",1E+99,J802-SUMIFS($F$2:F802,$E$2:E802,E802)))</f>
        <v/>
      </c>
      <c r="L802" s="5">
        <f>IF(A802="","",IF(OR(H802&lt;0,I802&lt;0,K802&lt;0),"UNMOEGLICH","OK"))</f>
        <v/>
      </c>
    </row>
    <row r="803">
      <c r="A803" s="7">
        <f>IF(ROW()-1&lt;=Eingabe!$B$4-Eingabe!$B$3+1,Eingabe!$B$3+ROW()-2,"")</f>
        <v/>
      </c>
      <c r="B803" s="5">
        <f>IF(A803="","",TEXT(A803,"yyyy-mm-dd"))</f>
        <v/>
      </c>
      <c r="C803" s="5">
        <f>IF(A803="","",TEXT(A803,"ddd"))</f>
        <v/>
      </c>
      <c r="D803" s="5">
        <f>IF(A803="","",TEXT(A803,"yyyy-mm"))</f>
        <v/>
      </c>
      <c r="E803" s="5">
        <f>IF(A803="","",IF(A803&lt;Eingabe!$B$5,"",INT((A803-Eingabe!$B$5)/(Eingabe!$B$6*7))+1))</f>
        <v/>
      </c>
      <c r="F803" s="8">
        <f>IF(A803="","",SUMPRODUCT((Eingabe!$B$16:$B$165&lt;&gt;"")*(Eingabe!$J$16:$J$165)*--(A803&gt;=Eingabe!$G$16:$G$165)*--(A803&lt;=Eingabe!$H$16:$H$165)*--(WEEKDAY(A803,2)&lt;=5)))</f>
        <v/>
      </c>
      <c r="G803" s="8">
        <f>IF(A803="","",SUM($F$2:F803))</f>
        <v/>
      </c>
      <c r="H803" s="8">
        <f>IF(A803="","",Eingabe!$B$7-G803)</f>
        <v/>
      </c>
      <c r="I803" s="8">
        <f>IF(A803="","",Eingabe!$B$8-SUMIFS($F$2:F803,$D$2:D803,D803))</f>
        <v/>
      </c>
      <c r="J803" s="8">
        <f>IF(A803="","",IF(E803="",1E+99,IFERROR(VLOOKUP(E803,Eingabe!$D$5:$E$44,2,FALSE),Eingabe!$B$9)))</f>
        <v/>
      </c>
      <c r="K803" s="8">
        <f>IF(A803="","",IF(E803="",1E+99,J803-SUMIFS($F$2:F803,$E$2:E803,E803)))</f>
        <v/>
      </c>
      <c r="L803" s="5">
        <f>IF(A803="","",IF(OR(H803&lt;0,I803&lt;0,K803&lt;0),"UNMOEGLICH","OK"))</f>
        <v/>
      </c>
    </row>
    <row r="804">
      <c r="A804" s="7">
        <f>IF(ROW()-1&lt;=Eingabe!$B$4-Eingabe!$B$3+1,Eingabe!$B$3+ROW()-2,"")</f>
        <v/>
      </c>
      <c r="B804" s="5">
        <f>IF(A804="","",TEXT(A804,"yyyy-mm-dd"))</f>
        <v/>
      </c>
      <c r="C804" s="5">
        <f>IF(A804="","",TEXT(A804,"ddd"))</f>
        <v/>
      </c>
      <c r="D804" s="5">
        <f>IF(A804="","",TEXT(A804,"yyyy-mm"))</f>
        <v/>
      </c>
      <c r="E804" s="5">
        <f>IF(A804="","",IF(A804&lt;Eingabe!$B$5,"",INT((A804-Eingabe!$B$5)/(Eingabe!$B$6*7))+1))</f>
        <v/>
      </c>
      <c r="F804" s="8">
        <f>IF(A804="","",SUMPRODUCT((Eingabe!$B$16:$B$165&lt;&gt;"")*(Eingabe!$J$16:$J$165)*--(A804&gt;=Eingabe!$G$16:$G$165)*--(A804&lt;=Eingabe!$H$16:$H$165)*--(WEEKDAY(A804,2)&lt;=5)))</f>
        <v/>
      </c>
      <c r="G804" s="8">
        <f>IF(A804="","",SUM($F$2:F804))</f>
        <v/>
      </c>
      <c r="H804" s="8">
        <f>IF(A804="","",Eingabe!$B$7-G804)</f>
        <v/>
      </c>
      <c r="I804" s="8">
        <f>IF(A804="","",Eingabe!$B$8-SUMIFS($F$2:F804,$D$2:D804,D804))</f>
        <v/>
      </c>
      <c r="J804" s="8">
        <f>IF(A804="","",IF(E804="",1E+99,IFERROR(VLOOKUP(E804,Eingabe!$D$5:$E$44,2,FALSE),Eingabe!$B$9)))</f>
        <v/>
      </c>
      <c r="K804" s="8">
        <f>IF(A804="","",IF(E804="",1E+99,J804-SUMIFS($F$2:F804,$E$2:E804,E804)))</f>
        <v/>
      </c>
      <c r="L804" s="5">
        <f>IF(A804="","",IF(OR(H804&lt;0,I804&lt;0,K804&lt;0),"UNMOEGLICH","OK"))</f>
        <v/>
      </c>
    </row>
    <row r="805">
      <c r="A805" s="7">
        <f>IF(ROW()-1&lt;=Eingabe!$B$4-Eingabe!$B$3+1,Eingabe!$B$3+ROW()-2,"")</f>
        <v/>
      </c>
      <c r="B805" s="5">
        <f>IF(A805="","",TEXT(A805,"yyyy-mm-dd"))</f>
        <v/>
      </c>
      <c r="C805" s="5">
        <f>IF(A805="","",TEXT(A805,"ddd"))</f>
        <v/>
      </c>
      <c r="D805" s="5">
        <f>IF(A805="","",TEXT(A805,"yyyy-mm"))</f>
        <v/>
      </c>
      <c r="E805" s="5">
        <f>IF(A805="","",IF(A805&lt;Eingabe!$B$5,"",INT((A805-Eingabe!$B$5)/(Eingabe!$B$6*7))+1))</f>
        <v/>
      </c>
      <c r="F805" s="8">
        <f>IF(A805="","",SUMPRODUCT((Eingabe!$B$16:$B$165&lt;&gt;"")*(Eingabe!$J$16:$J$165)*--(A805&gt;=Eingabe!$G$16:$G$165)*--(A805&lt;=Eingabe!$H$16:$H$165)*--(WEEKDAY(A805,2)&lt;=5)))</f>
        <v/>
      </c>
      <c r="G805" s="8">
        <f>IF(A805="","",SUM($F$2:F805))</f>
        <v/>
      </c>
      <c r="H805" s="8">
        <f>IF(A805="","",Eingabe!$B$7-G805)</f>
        <v/>
      </c>
      <c r="I805" s="8">
        <f>IF(A805="","",Eingabe!$B$8-SUMIFS($F$2:F805,$D$2:D805,D805))</f>
        <v/>
      </c>
      <c r="J805" s="8">
        <f>IF(A805="","",IF(E805="",1E+99,IFERROR(VLOOKUP(E805,Eingabe!$D$5:$E$44,2,FALSE),Eingabe!$B$9)))</f>
        <v/>
      </c>
      <c r="K805" s="8">
        <f>IF(A805="","",IF(E805="",1E+99,J805-SUMIFS($F$2:F805,$E$2:E805,E805)))</f>
        <v/>
      </c>
      <c r="L805" s="5">
        <f>IF(A805="","",IF(OR(H805&lt;0,I805&lt;0,K805&lt;0),"UNMOEGLICH","OK"))</f>
        <v/>
      </c>
    </row>
    <row r="806">
      <c r="A806" s="7">
        <f>IF(ROW()-1&lt;=Eingabe!$B$4-Eingabe!$B$3+1,Eingabe!$B$3+ROW()-2,"")</f>
        <v/>
      </c>
      <c r="B806" s="5">
        <f>IF(A806="","",TEXT(A806,"yyyy-mm-dd"))</f>
        <v/>
      </c>
      <c r="C806" s="5">
        <f>IF(A806="","",TEXT(A806,"ddd"))</f>
        <v/>
      </c>
      <c r="D806" s="5">
        <f>IF(A806="","",TEXT(A806,"yyyy-mm"))</f>
        <v/>
      </c>
      <c r="E806" s="5">
        <f>IF(A806="","",IF(A806&lt;Eingabe!$B$5,"",INT((A806-Eingabe!$B$5)/(Eingabe!$B$6*7))+1))</f>
        <v/>
      </c>
      <c r="F806" s="8">
        <f>IF(A806="","",SUMPRODUCT((Eingabe!$B$16:$B$165&lt;&gt;"")*(Eingabe!$J$16:$J$165)*--(A806&gt;=Eingabe!$G$16:$G$165)*--(A806&lt;=Eingabe!$H$16:$H$165)*--(WEEKDAY(A806,2)&lt;=5)))</f>
        <v/>
      </c>
      <c r="G806" s="8">
        <f>IF(A806="","",SUM($F$2:F806))</f>
        <v/>
      </c>
      <c r="H806" s="8">
        <f>IF(A806="","",Eingabe!$B$7-G806)</f>
        <v/>
      </c>
      <c r="I806" s="8">
        <f>IF(A806="","",Eingabe!$B$8-SUMIFS($F$2:F806,$D$2:D806,D806))</f>
        <v/>
      </c>
      <c r="J806" s="8">
        <f>IF(A806="","",IF(E806="",1E+99,IFERROR(VLOOKUP(E806,Eingabe!$D$5:$E$44,2,FALSE),Eingabe!$B$9)))</f>
        <v/>
      </c>
      <c r="K806" s="8">
        <f>IF(A806="","",IF(E806="",1E+99,J806-SUMIFS($F$2:F806,$E$2:E806,E806)))</f>
        <v/>
      </c>
      <c r="L806" s="5">
        <f>IF(A806="","",IF(OR(H806&lt;0,I806&lt;0,K806&lt;0),"UNMOEGLICH","OK"))</f>
        <v/>
      </c>
    </row>
    <row r="807">
      <c r="A807" s="7">
        <f>IF(ROW()-1&lt;=Eingabe!$B$4-Eingabe!$B$3+1,Eingabe!$B$3+ROW()-2,"")</f>
        <v/>
      </c>
      <c r="B807" s="5">
        <f>IF(A807="","",TEXT(A807,"yyyy-mm-dd"))</f>
        <v/>
      </c>
      <c r="C807" s="5">
        <f>IF(A807="","",TEXT(A807,"ddd"))</f>
        <v/>
      </c>
      <c r="D807" s="5">
        <f>IF(A807="","",TEXT(A807,"yyyy-mm"))</f>
        <v/>
      </c>
      <c r="E807" s="5">
        <f>IF(A807="","",IF(A807&lt;Eingabe!$B$5,"",INT((A807-Eingabe!$B$5)/(Eingabe!$B$6*7))+1))</f>
        <v/>
      </c>
      <c r="F807" s="8">
        <f>IF(A807="","",SUMPRODUCT((Eingabe!$B$16:$B$165&lt;&gt;"")*(Eingabe!$J$16:$J$165)*--(A807&gt;=Eingabe!$G$16:$G$165)*--(A807&lt;=Eingabe!$H$16:$H$165)*--(WEEKDAY(A807,2)&lt;=5)))</f>
        <v/>
      </c>
      <c r="G807" s="8">
        <f>IF(A807="","",SUM($F$2:F807))</f>
        <v/>
      </c>
      <c r="H807" s="8">
        <f>IF(A807="","",Eingabe!$B$7-G807)</f>
        <v/>
      </c>
      <c r="I807" s="8">
        <f>IF(A807="","",Eingabe!$B$8-SUMIFS($F$2:F807,$D$2:D807,D807))</f>
        <v/>
      </c>
      <c r="J807" s="8">
        <f>IF(A807="","",IF(E807="",1E+99,IFERROR(VLOOKUP(E807,Eingabe!$D$5:$E$44,2,FALSE),Eingabe!$B$9)))</f>
        <v/>
      </c>
      <c r="K807" s="8">
        <f>IF(A807="","",IF(E807="",1E+99,J807-SUMIFS($F$2:F807,$E$2:E807,E807)))</f>
        <v/>
      </c>
      <c r="L807" s="5">
        <f>IF(A807="","",IF(OR(H807&lt;0,I807&lt;0,K807&lt;0),"UNMOEGLICH","OK"))</f>
        <v/>
      </c>
    </row>
    <row r="808">
      <c r="A808" s="7">
        <f>IF(ROW()-1&lt;=Eingabe!$B$4-Eingabe!$B$3+1,Eingabe!$B$3+ROW()-2,"")</f>
        <v/>
      </c>
      <c r="B808" s="5">
        <f>IF(A808="","",TEXT(A808,"yyyy-mm-dd"))</f>
        <v/>
      </c>
      <c r="C808" s="5">
        <f>IF(A808="","",TEXT(A808,"ddd"))</f>
        <v/>
      </c>
      <c r="D808" s="5">
        <f>IF(A808="","",TEXT(A808,"yyyy-mm"))</f>
        <v/>
      </c>
      <c r="E808" s="5">
        <f>IF(A808="","",IF(A808&lt;Eingabe!$B$5,"",INT((A808-Eingabe!$B$5)/(Eingabe!$B$6*7))+1))</f>
        <v/>
      </c>
      <c r="F808" s="8">
        <f>IF(A808="","",SUMPRODUCT((Eingabe!$B$16:$B$165&lt;&gt;"")*(Eingabe!$J$16:$J$165)*--(A808&gt;=Eingabe!$G$16:$G$165)*--(A808&lt;=Eingabe!$H$16:$H$165)*--(WEEKDAY(A808,2)&lt;=5)))</f>
        <v/>
      </c>
      <c r="G808" s="8">
        <f>IF(A808="","",SUM($F$2:F808))</f>
        <v/>
      </c>
      <c r="H808" s="8">
        <f>IF(A808="","",Eingabe!$B$7-G808)</f>
        <v/>
      </c>
      <c r="I808" s="8">
        <f>IF(A808="","",Eingabe!$B$8-SUMIFS($F$2:F808,$D$2:D808,D808))</f>
        <v/>
      </c>
      <c r="J808" s="8">
        <f>IF(A808="","",IF(E808="",1E+99,IFERROR(VLOOKUP(E808,Eingabe!$D$5:$E$44,2,FALSE),Eingabe!$B$9)))</f>
        <v/>
      </c>
      <c r="K808" s="8">
        <f>IF(A808="","",IF(E808="",1E+99,J808-SUMIFS($F$2:F808,$E$2:E808,E808)))</f>
        <v/>
      </c>
      <c r="L808" s="5">
        <f>IF(A808="","",IF(OR(H808&lt;0,I808&lt;0,K808&lt;0),"UNMOEGLICH","OK"))</f>
        <v/>
      </c>
    </row>
    <row r="809">
      <c r="A809" s="7">
        <f>IF(ROW()-1&lt;=Eingabe!$B$4-Eingabe!$B$3+1,Eingabe!$B$3+ROW()-2,"")</f>
        <v/>
      </c>
      <c r="B809" s="5">
        <f>IF(A809="","",TEXT(A809,"yyyy-mm-dd"))</f>
        <v/>
      </c>
      <c r="C809" s="5">
        <f>IF(A809="","",TEXT(A809,"ddd"))</f>
        <v/>
      </c>
      <c r="D809" s="5">
        <f>IF(A809="","",TEXT(A809,"yyyy-mm"))</f>
        <v/>
      </c>
      <c r="E809" s="5">
        <f>IF(A809="","",IF(A809&lt;Eingabe!$B$5,"",INT((A809-Eingabe!$B$5)/(Eingabe!$B$6*7))+1))</f>
        <v/>
      </c>
      <c r="F809" s="8">
        <f>IF(A809="","",SUMPRODUCT((Eingabe!$B$16:$B$165&lt;&gt;"")*(Eingabe!$J$16:$J$165)*--(A809&gt;=Eingabe!$G$16:$G$165)*--(A809&lt;=Eingabe!$H$16:$H$165)*--(WEEKDAY(A809,2)&lt;=5)))</f>
        <v/>
      </c>
      <c r="G809" s="8">
        <f>IF(A809="","",SUM($F$2:F809))</f>
        <v/>
      </c>
      <c r="H809" s="8">
        <f>IF(A809="","",Eingabe!$B$7-G809)</f>
        <v/>
      </c>
      <c r="I809" s="8">
        <f>IF(A809="","",Eingabe!$B$8-SUMIFS($F$2:F809,$D$2:D809,D809))</f>
        <v/>
      </c>
      <c r="J809" s="8">
        <f>IF(A809="","",IF(E809="",1E+99,IFERROR(VLOOKUP(E809,Eingabe!$D$5:$E$44,2,FALSE),Eingabe!$B$9)))</f>
        <v/>
      </c>
      <c r="K809" s="8">
        <f>IF(A809="","",IF(E809="",1E+99,J809-SUMIFS($F$2:F809,$E$2:E809,E809)))</f>
        <v/>
      </c>
      <c r="L809" s="5">
        <f>IF(A809="","",IF(OR(H809&lt;0,I809&lt;0,K809&lt;0),"UNMOEGLICH","OK"))</f>
        <v/>
      </c>
    </row>
    <row r="810">
      <c r="A810" s="7">
        <f>IF(ROW()-1&lt;=Eingabe!$B$4-Eingabe!$B$3+1,Eingabe!$B$3+ROW()-2,"")</f>
        <v/>
      </c>
      <c r="B810" s="5">
        <f>IF(A810="","",TEXT(A810,"yyyy-mm-dd"))</f>
        <v/>
      </c>
      <c r="C810" s="5">
        <f>IF(A810="","",TEXT(A810,"ddd"))</f>
        <v/>
      </c>
      <c r="D810" s="5">
        <f>IF(A810="","",TEXT(A810,"yyyy-mm"))</f>
        <v/>
      </c>
      <c r="E810" s="5">
        <f>IF(A810="","",IF(A810&lt;Eingabe!$B$5,"",INT((A810-Eingabe!$B$5)/(Eingabe!$B$6*7))+1))</f>
        <v/>
      </c>
      <c r="F810" s="8">
        <f>IF(A810="","",SUMPRODUCT((Eingabe!$B$16:$B$165&lt;&gt;"")*(Eingabe!$J$16:$J$165)*--(A810&gt;=Eingabe!$G$16:$G$165)*--(A810&lt;=Eingabe!$H$16:$H$165)*--(WEEKDAY(A810,2)&lt;=5)))</f>
        <v/>
      </c>
      <c r="G810" s="8">
        <f>IF(A810="","",SUM($F$2:F810))</f>
        <v/>
      </c>
      <c r="H810" s="8">
        <f>IF(A810="","",Eingabe!$B$7-G810)</f>
        <v/>
      </c>
      <c r="I810" s="8">
        <f>IF(A810="","",Eingabe!$B$8-SUMIFS($F$2:F810,$D$2:D810,D810))</f>
        <v/>
      </c>
      <c r="J810" s="8">
        <f>IF(A810="","",IF(E810="",1E+99,IFERROR(VLOOKUP(E810,Eingabe!$D$5:$E$44,2,FALSE),Eingabe!$B$9)))</f>
        <v/>
      </c>
      <c r="K810" s="8">
        <f>IF(A810="","",IF(E810="",1E+99,J810-SUMIFS($F$2:F810,$E$2:E810,E810)))</f>
        <v/>
      </c>
      <c r="L810" s="5">
        <f>IF(A810="","",IF(OR(H810&lt;0,I810&lt;0,K810&lt;0),"UNMOEGLICH","OK"))</f>
        <v/>
      </c>
    </row>
    <row r="811">
      <c r="A811" s="7">
        <f>IF(ROW()-1&lt;=Eingabe!$B$4-Eingabe!$B$3+1,Eingabe!$B$3+ROW()-2,"")</f>
        <v/>
      </c>
      <c r="B811" s="5">
        <f>IF(A811="","",TEXT(A811,"yyyy-mm-dd"))</f>
        <v/>
      </c>
      <c r="C811" s="5">
        <f>IF(A811="","",TEXT(A811,"ddd"))</f>
        <v/>
      </c>
      <c r="D811" s="5">
        <f>IF(A811="","",TEXT(A811,"yyyy-mm"))</f>
        <v/>
      </c>
      <c r="E811" s="5">
        <f>IF(A811="","",IF(A811&lt;Eingabe!$B$5,"",INT((A811-Eingabe!$B$5)/(Eingabe!$B$6*7))+1))</f>
        <v/>
      </c>
      <c r="F811" s="8">
        <f>IF(A811="","",SUMPRODUCT((Eingabe!$B$16:$B$165&lt;&gt;"")*(Eingabe!$J$16:$J$165)*--(A811&gt;=Eingabe!$G$16:$G$165)*--(A811&lt;=Eingabe!$H$16:$H$165)*--(WEEKDAY(A811,2)&lt;=5)))</f>
        <v/>
      </c>
      <c r="G811" s="8">
        <f>IF(A811="","",SUM($F$2:F811))</f>
        <v/>
      </c>
      <c r="H811" s="8">
        <f>IF(A811="","",Eingabe!$B$7-G811)</f>
        <v/>
      </c>
      <c r="I811" s="8">
        <f>IF(A811="","",Eingabe!$B$8-SUMIFS($F$2:F811,$D$2:D811,D811))</f>
        <v/>
      </c>
      <c r="J811" s="8">
        <f>IF(A811="","",IF(E811="",1E+99,IFERROR(VLOOKUP(E811,Eingabe!$D$5:$E$44,2,FALSE),Eingabe!$B$9)))</f>
        <v/>
      </c>
      <c r="K811" s="8">
        <f>IF(A811="","",IF(E811="",1E+99,J811-SUMIFS($F$2:F811,$E$2:E811,E811)))</f>
        <v/>
      </c>
      <c r="L811" s="5">
        <f>IF(A811="","",IF(OR(H811&lt;0,I811&lt;0,K811&lt;0),"UNMOEGLICH","OK"))</f>
        <v/>
      </c>
    </row>
    <row r="812">
      <c r="A812" s="7">
        <f>IF(ROW()-1&lt;=Eingabe!$B$4-Eingabe!$B$3+1,Eingabe!$B$3+ROW()-2,"")</f>
        <v/>
      </c>
      <c r="B812" s="5">
        <f>IF(A812="","",TEXT(A812,"yyyy-mm-dd"))</f>
        <v/>
      </c>
      <c r="C812" s="5">
        <f>IF(A812="","",TEXT(A812,"ddd"))</f>
        <v/>
      </c>
      <c r="D812" s="5">
        <f>IF(A812="","",TEXT(A812,"yyyy-mm"))</f>
        <v/>
      </c>
      <c r="E812" s="5">
        <f>IF(A812="","",IF(A812&lt;Eingabe!$B$5,"",INT((A812-Eingabe!$B$5)/(Eingabe!$B$6*7))+1))</f>
        <v/>
      </c>
      <c r="F812" s="8">
        <f>IF(A812="","",SUMPRODUCT((Eingabe!$B$16:$B$165&lt;&gt;"")*(Eingabe!$J$16:$J$165)*--(A812&gt;=Eingabe!$G$16:$G$165)*--(A812&lt;=Eingabe!$H$16:$H$165)*--(WEEKDAY(A812,2)&lt;=5)))</f>
        <v/>
      </c>
      <c r="G812" s="8">
        <f>IF(A812="","",SUM($F$2:F812))</f>
        <v/>
      </c>
      <c r="H812" s="8">
        <f>IF(A812="","",Eingabe!$B$7-G812)</f>
        <v/>
      </c>
      <c r="I812" s="8">
        <f>IF(A812="","",Eingabe!$B$8-SUMIFS($F$2:F812,$D$2:D812,D812))</f>
        <v/>
      </c>
      <c r="J812" s="8">
        <f>IF(A812="","",IF(E812="",1E+99,IFERROR(VLOOKUP(E812,Eingabe!$D$5:$E$44,2,FALSE),Eingabe!$B$9)))</f>
        <v/>
      </c>
      <c r="K812" s="8">
        <f>IF(A812="","",IF(E812="",1E+99,J812-SUMIFS($F$2:F812,$E$2:E812,E812)))</f>
        <v/>
      </c>
      <c r="L812" s="5">
        <f>IF(A812="","",IF(OR(H812&lt;0,I812&lt;0,K812&lt;0),"UNMOEGLICH","OK"))</f>
        <v/>
      </c>
    </row>
    <row r="813">
      <c r="A813" s="7">
        <f>IF(ROW()-1&lt;=Eingabe!$B$4-Eingabe!$B$3+1,Eingabe!$B$3+ROW()-2,"")</f>
        <v/>
      </c>
      <c r="B813" s="5">
        <f>IF(A813="","",TEXT(A813,"yyyy-mm-dd"))</f>
        <v/>
      </c>
      <c r="C813" s="5">
        <f>IF(A813="","",TEXT(A813,"ddd"))</f>
        <v/>
      </c>
      <c r="D813" s="5">
        <f>IF(A813="","",TEXT(A813,"yyyy-mm"))</f>
        <v/>
      </c>
      <c r="E813" s="5">
        <f>IF(A813="","",IF(A813&lt;Eingabe!$B$5,"",INT((A813-Eingabe!$B$5)/(Eingabe!$B$6*7))+1))</f>
        <v/>
      </c>
      <c r="F813" s="8">
        <f>IF(A813="","",SUMPRODUCT((Eingabe!$B$16:$B$165&lt;&gt;"")*(Eingabe!$J$16:$J$165)*--(A813&gt;=Eingabe!$G$16:$G$165)*--(A813&lt;=Eingabe!$H$16:$H$165)*--(WEEKDAY(A813,2)&lt;=5)))</f>
        <v/>
      </c>
      <c r="G813" s="8">
        <f>IF(A813="","",SUM($F$2:F813))</f>
        <v/>
      </c>
      <c r="H813" s="8">
        <f>IF(A813="","",Eingabe!$B$7-G813)</f>
        <v/>
      </c>
      <c r="I813" s="8">
        <f>IF(A813="","",Eingabe!$B$8-SUMIFS($F$2:F813,$D$2:D813,D813))</f>
        <v/>
      </c>
      <c r="J813" s="8">
        <f>IF(A813="","",IF(E813="",1E+99,IFERROR(VLOOKUP(E813,Eingabe!$D$5:$E$44,2,FALSE),Eingabe!$B$9)))</f>
        <v/>
      </c>
      <c r="K813" s="8">
        <f>IF(A813="","",IF(E813="",1E+99,J813-SUMIFS($F$2:F813,$E$2:E813,E813)))</f>
        <v/>
      </c>
      <c r="L813" s="5">
        <f>IF(A813="","",IF(OR(H813&lt;0,I813&lt;0,K813&lt;0),"UNMOEGLICH","OK"))</f>
        <v/>
      </c>
    </row>
    <row r="814">
      <c r="A814" s="7">
        <f>IF(ROW()-1&lt;=Eingabe!$B$4-Eingabe!$B$3+1,Eingabe!$B$3+ROW()-2,"")</f>
        <v/>
      </c>
      <c r="B814" s="5">
        <f>IF(A814="","",TEXT(A814,"yyyy-mm-dd"))</f>
        <v/>
      </c>
      <c r="C814" s="5">
        <f>IF(A814="","",TEXT(A814,"ddd"))</f>
        <v/>
      </c>
      <c r="D814" s="5">
        <f>IF(A814="","",TEXT(A814,"yyyy-mm"))</f>
        <v/>
      </c>
      <c r="E814" s="5">
        <f>IF(A814="","",IF(A814&lt;Eingabe!$B$5,"",INT((A814-Eingabe!$B$5)/(Eingabe!$B$6*7))+1))</f>
        <v/>
      </c>
      <c r="F814" s="8">
        <f>IF(A814="","",SUMPRODUCT((Eingabe!$B$16:$B$165&lt;&gt;"")*(Eingabe!$J$16:$J$165)*--(A814&gt;=Eingabe!$G$16:$G$165)*--(A814&lt;=Eingabe!$H$16:$H$165)*--(WEEKDAY(A814,2)&lt;=5)))</f>
        <v/>
      </c>
      <c r="G814" s="8">
        <f>IF(A814="","",SUM($F$2:F814))</f>
        <v/>
      </c>
      <c r="H814" s="8">
        <f>IF(A814="","",Eingabe!$B$7-G814)</f>
        <v/>
      </c>
      <c r="I814" s="8">
        <f>IF(A814="","",Eingabe!$B$8-SUMIFS($F$2:F814,$D$2:D814,D814))</f>
        <v/>
      </c>
      <c r="J814" s="8">
        <f>IF(A814="","",IF(E814="",1E+99,IFERROR(VLOOKUP(E814,Eingabe!$D$5:$E$44,2,FALSE),Eingabe!$B$9)))</f>
        <v/>
      </c>
      <c r="K814" s="8">
        <f>IF(A814="","",IF(E814="",1E+99,J814-SUMIFS($F$2:F814,$E$2:E814,E814)))</f>
        <v/>
      </c>
      <c r="L814" s="5">
        <f>IF(A814="","",IF(OR(H814&lt;0,I814&lt;0,K814&lt;0),"UNMOEGLICH","OK"))</f>
        <v/>
      </c>
    </row>
    <row r="815">
      <c r="A815" s="7">
        <f>IF(ROW()-1&lt;=Eingabe!$B$4-Eingabe!$B$3+1,Eingabe!$B$3+ROW()-2,"")</f>
        <v/>
      </c>
      <c r="B815" s="5">
        <f>IF(A815="","",TEXT(A815,"yyyy-mm-dd"))</f>
        <v/>
      </c>
      <c r="C815" s="5">
        <f>IF(A815="","",TEXT(A815,"ddd"))</f>
        <v/>
      </c>
      <c r="D815" s="5">
        <f>IF(A815="","",TEXT(A815,"yyyy-mm"))</f>
        <v/>
      </c>
      <c r="E815" s="5">
        <f>IF(A815="","",IF(A815&lt;Eingabe!$B$5,"",INT((A815-Eingabe!$B$5)/(Eingabe!$B$6*7))+1))</f>
        <v/>
      </c>
      <c r="F815" s="8">
        <f>IF(A815="","",SUMPRODUCT((Eingabe!$B$16:$B$165&lt;&gt;"")*(Eingabe!$J$16:$J$165)*--(A815&gt;=Eingabe!$G$16:$G$165)*--(A815&lt;=Eingabe!$H$16:$H$165)*--(WEEKDAY(A815,2)&lt;=5)))</f>
        <v/>
      </c>
      <c r="G815" s="8">
        <f>IF(A815="","",SUM($F$2:F815))</f>
        <v/>
      </c>
      <c r="H815" s="8">
        <f>IF(A815="","",Eingabe!$B$7-G815)</f>
        <v/>
      </c>
      <c r="I815" s="8">
        <f>IF(A815="","",Eingabe!$B$8-SUMIFS($F$2:F815,$D$2:D815,D815))</f>
        <v/>
      </c>
      <c r="J815" s="8">
        <f>IF(A815="","",IF(E815="",1E+99,IFERROR(VLOOKUP(E815,Eingabe!$D$5:$E$44,2,FALSE),Eingabe!$B$9)))</f>
        <v/>
      </c>
      <c r="K815" s="8">
        <f>IF(A815="","",IF(E815="",1E+99,J815-SUMIFS($F$2:F815,$E$2:E815,E815)))</f>
        <v/>
      </c>
      <c r="L815" s="5">
        <f>IF(A815="","",IF(OR(H815&lt;0,I815&lt;0,K815&lt;0),"UNMOEGLICH","OK"))</f>
        <v/>
      </c>
    </row>
    <row r="816">
      <c r="A816" s="7">
        <f>IF(ROW()-1&lt;=Eingabe!$B$4-Eingabe!$B$3+1,Eingabe!$B$3+ROW()-2,"")</f>
        <v/>
      </c>
      <c r="B816" s="5">
        <f>IF(A816="","",TEXT(A816,"yyyy-mm-dd"))</f>
        <v/>
      </c>
      <c r="C816" s="5">
        <f>IF(A816="","",TEXT(A816,"ddd"))</f>
        <v/>
      </c>
      <c r="D816" s="5">
        <f>IF(A816="","",TEXT(A816,"yyyy-mm"))</f>
        <v/>
      </c>
      <c r="E816" s="5">
        <f>IF(A816="","",IF(A816&lt;Eingabe!$B$5,"",INT((A816-Eingabe!$B$5)/(Eingabe!$B$6*7))+1))</f>
        <v/>
      </c>
      <c r="F816" s="8">
        <f>IF(A816="","",SUMPRODUCT((Eingabe!$B$16:$B$165&lt;&gt;"")*(Eingabe!$J$16:$J$165)*--(A816&gt;=Eingabe!$G$16:$G$165)*--(A816&lt;=Eingabe!$H$16:$H$165)*--(WEEKDAY(A816,2)&lt;=5)))</f>
        <v/>
      </c>
      <c r="G816" s="8">
        <f>IF(A816="","",SUM($F$2:F816))</f>
        <v/>
      </c>
      <c r="H816" s="8">
        <f>IF(A816="","",Eingabe!$B$7-G816)</f>
        <v/>
      </c>
      <c r="I816" s="8">
        <f>IF(A816="","",Eingabe!$B$8-SUMIFS($F$2:F816,$D$2:D816,D816))</f>
        <v/>
      </c>
      <c r="J816" s="8">
        <f>IF(A816="","",IF(E816="",1E+99,IFERROR(VLOOKUP(E816,Eingabe!$D$5:$E$44,2,FALSE),Eingabe!$B$9)))</f>
        <v/>
      </c>
      <c r="K816" s="8">
        <f>IF(A816="","",IF(E816="",1E+99,J816-SUMIFS($F$2:F816,$E$2:E816,E816)))</f>
        <v/>
      </c>
      <c r="L816" s="5">
        <f>IF(A816="","",IF(OR(H816&lt;0,I816&lt;0,K816&lt;0),"UNMOEGLICH","OK"))</f>
        <v/>
      </c>
    </row>
    <row r="817">
      <c r="A817" s="7">
        <f>IF(ROW()-1&lt;=Eingabe!$B$4-Eingabe!$B$3+1,Eingabe!$B$3+ROW()-2,"")</f>
        <v/>
      </c>
      <c r="B817" s="5">
        <f>IF(A817="","",TEXT(A817,"yyyy-mm-dd"))</f>
        <v/>
      </c>
      <c r="C817" s="5">
        <f>IF(A817="","",TEXT(A817,"ddd"))</f>
        <v/>
      </c>
      <c r="D817" s="5">
        <f>IF(A817="","",TEXT(A817,"yyyy-mm"))</f>
        <v/>
      </c>
      <c r="E817" s="5">
        <f>IF(A817="","",IF(A817&lt;Eingabe!$B$5,"",INT((A817-Eingabe!$B$5)/(Eingabe!$B$6*7))+1))</f>
        <v/>
      </c>
      <c r="F817" s="8">
        <f>IF(A817="","",SUMPRODUCT((Eingabe!$B$16:$B$165&lt;&gt;"")*(Eingabe!$J$16:$J$165)*--(A817&gt;=Eingabe!$G$16:$G$165)*--(A817&lt;=Eingabe!$H$16:$H$165)*--(WEEKDAY(A817,2)&lt;=5)))</f>
        <v/>
      </c>
      <c r="G817" s="8">
        <f>IF(A817="","",SUM($F$2:F817))</f>
        <v/>
      </c>
      <c r="H817" s="8">
        <f>IF(A817="","",Eingabe!$B$7-G817)</f>
        <v/>
      </c>
      <c r="I817" s="8">
        <f>IF(A817="","",Eingabe!$B$8-SUMIFS($F$2:F817,$D$2:D817,D817))</f>
        <v/>
      </c>
      <c r="J817" s="8">
        <f>IF(A817="","",IF(E817="",1E+99,IFERROR(VLOOKUP(E817,Eingabe!$D$5:$E$44,2,FALSE),Eingabe!$B$9)))</f>
        <v/>
      </c>
      <c r="K817" s="8">
        <f>IF(A817="","",IF(E817="",1E+99,J817-SUMIFS($F$2:F817,$E$2:E817,E817)))</f>
        <v/>
      </c>
      <c r="L817" s="5">
        <f>IF(A817="","",IF(OR(H817&lt;0,I817&lt;0,K817&lt;0),"UNMOEGLICH","OK"))</f>
        <v/>
      </c>
    </row>
    <row r="818">
      <c r="A818" s="7">
        <f>IF(ROW()-1&lt;=Eingabe!$B$4-Eingabe!$B$3+1,Eingabe!$B$3+ROW()-2,"")</f>
        <v/>
      </c>
      <c r="B818" s="5">
        <f>IF(A818="","",TEXT(A818,"yyyy-mm-dd"))</f>
        <v/>
      </c>
      <c r="C818" s="5">
        <f>IF(A818="","",TEXT(A818,"ddd"))</f>
        <v/>
      </c>
      <c r="D818" s="5">
        <f>IF(A818="","",TEXT(A818,"yyyy-mm"))</f>
        <v/>
      </c>
      <c r="E818" s="5">
        <f>IF(A818="","",IF(A818&lt;Eingabe!$B$5,"",INT((A818-Eingabe!$B$5)/(Eingabe!$B$6*7))+1))</f>
        <v/>
      </c>
      <c r="F818" s="8">
        <f>IF(A818="","",SUMPRODUCT((Eingabe!$B$16:$B$165&lt;&gt;"")*(Eingabe!$J$16:$J$165)*--(A818&gt;=Eingabe!$G$16:$G$165)*--(A818&lt;=Eingabe!$H$16:$H$165)*--(WEEKDAY(A818,2)&lt;=5)))</f>
        <v/>
      </c>
      <c r="G818" s="8">
        <f>IF(A818="","",SUM($F$2:F818))</f>
        <v/>
      </c>
      <c r="H818" s="8">
        <f>IF(A818="","",Eingabe!$B$7-G818)</f>
        <v/>
      </c>
      <c r="I818" s="8">
        <f>IF(A818="","",Eingabe!$B$8-SUMIFS($F$2:F818,$D$2:D818,D818))</f>
        <v/>
      </c>
      <c r="J818" s="8">
        <f>IF(A818="","",IF(E818="",1E+99,IFERROR(VLOOKUP(E818,Eingabe!$D$5:$E$44,2,FALSE),Eingabe!$B$9)))</f>
        <v/>
      </c>
      <c r="K818" s="8">
        <f>IF(A818="","",IF(E818="",1E+99,J818-SUMIFS($F$2:F818,$E$2:E818,E818)))</f>
        <v/>
      </c>
      <c r="L818" s="5">
        <f>IF(A818="","",IF(OR(H818&lt;0,I818&lt;0,K818&lt;0),"UNMOEGLICH","OK"))</f>
        <v/>
      </c>
    </row>
    <row r="819">
      <c r="A819" s="7">
        <f>IF(ROW()-1&lt;=Eingabe!$B$4-Eingabe!$B$3+1,Eingabe!$B$3+ROW()-2,"")</f>
        <v/>
      </c>
      <c r="B819" s="5">
        <f>IF(A819="","",TEXT(A819,"yyyy-mm-dd"))</f>
        <v/>
      </c>
      <c r="C819" s="5">
        <f>IF(A819="","",TEXT(A819,"ddd"))</f>
        <v/>
      </c>
      <c r="D819" s="5">
        <f>IF(A819="","",TEXT(A819,"yyyy-mm"))</f>
        <v/>
      </c>
      <c r="E819" s="5">
        <f>IF(A819="","",IF(A819&lt;Eingabe!$B$5,"",INT((A819-Eingabe!$B$5)/(Eingabe!$B$6*7))+1))</f>
        <v/>
      </c>
      <c r="F819" s="8">
        <f>IF(A819="","",SUMPRODUCT((Eingabe!$B$16:$B$165&lt;&gt;"")*(Eingabe!$J$16:$J$165)*--(A819&gt;=Eingabe!$G$16:$G$165)*--(A819&lt;=Eingabe!$H$16:$H$165)*--(WEEKDAY(A819,2)&lt;=5)))</f>
        <v/>
      </c>
      <c r="G819" s="8">
        <f>IF(A819="","",SUM($F$2:F819))</f>
        <v/>
      </c>
      <c r="H819" s="8">
        <f>IF(A819="","",Eingabe!$B$7-G819)</f>
        <v/>
      </c>
      <c r="I819" s="8">
        <f>IF(A819="","",Eingabe!$B$8-SUMIFS($F$2:F819,$D$2:D819,D819))</f>
        <v/>
      </c>
      <c r="J819" s="8">
        <f>IF(A819="","",IF(E819="",1E+99,IFERROR(VLOOKUP(E819,Eingabe!$D$5:$E$44,2,FALSE),Eingabe!$B$9)))</f>
        <v/>
      </c>
      <c r="K819" s="8">
        <f>IF(A819="","",IF(E819="",1E+99,J819-SUMIFS($F$2:F819,$E$2:E819,E819)))</f>
        <v/>
      </c>
      <c r="L819" s="5">
        <f>IF(A819="","",IF(OR(H819&lt;0,I819&lt;0,K819&lt;0),"UNMOEGLICH","OK"))</f>
        <v/>
      </c>
    </row>
    <row r="820">
      <c r="A820" s="7">
        <f>IF(ROW()-1&lt;=Eingabe!$B$4-Eingabe!$B$3+1,Eingabe!$B$3+ROW()-2,"")</f>
        <v/>
      </c>
      <c r="B820" s="5">
        <f>IF(A820="","",TEXT(A820,"yyyy-mm-dd"))</f>
        <v/>
      </c>
      <c r="C820" s="5">
        <f>IF(A820="","",TEXT(A820,"ddd"))</f>
        <v/>
      </c>
      <c r="D820" s="5">
        <f>IF(A820="","",TEXT(A820,"yyyy-mm"))</f>
        <v/>
      </c>
      <c r="E820" s="5">
        <f>IF(A820="","",IF(A820&lt;Eingabe!$B$5,"",INT((A820-Eingabe!$B$5)/(Eingabe!$B$6*7))+1))</f>
        <v/>
      </c>
      <c r="F820" s="8">
        <f>IF(A820="","",SUMPRODUCT((Eingabe!$B$16:$B$165&lt;&gt;"")*(Eingabe!$J$16:$J$165)*--(A820&gt;=Eingabe!$G$16:$G$165)*--(A820&lt;=Eingabe!$H$16:$H$165)*--(WEEKDAY(A820,2)&lt;=5)))</f>
        <v/>
      </c>
      <c r="G820" s="8">
        <f>IF(A820="","",SUM($F$2:F820))</f>
        <v/>
      </c>
      <c r="H820" s="8">
        <f>IF(A820="","",Eingabe!$B$7-G820)</f>
        <v/>
      </c>
      <c r="I820" s="8">
        <f>IF(A820="","",Eingabe!$B$8-SUMIFS($F$2:F820,$D$2:D820,D820))</f>
        <v/>
      </c>
      <c r="J820" s="8">
        <f>IF(A820="","",IF(E820="",1E+99,IFERROR(VLOOKUP(E820,Eingabe!$D$5:$E$44,2,FALSE),Eingabe!$B$9)))</f>
        <v/>
      </c>
      <c r="K820" s="8">
        <f>IF(A820="","",IF(E820="",1E+99,J820-SUMIFS($F$2:F820,$E$2:E820,E820)))</f>
        <v/>
      </c>
      <c r="L820" s="5">
        <f>IF(A820="","",IF(OR(H820&lt;0,I820&lt;0,K820&lt;0),"UNMOEGLICH","OK"))</f>
        <v/>
      </c>
    </row>
    <row r="821">
      <c r="A821" s="7">
        <f>IF(ROW()-1&lt;=Eingabe!$B$4-Eingabe!$B$3+1,Eingabe!$B$3+ROW()-2,"")</f>
        <v/>
      </c>
      <c r="B821" s="5">
        <f>IF(A821="","",TEXT(A821,"yyyy-mm-dd"))</f>
        <v/>
      </c>
      <c r="C821" s="5">
        <f>IF(A821="","",TEXT(A821,"ddd"))</f>
        <v/>
      </c>
      <c r="D821" s="5">
        <f>IF(A821="","",TEXT(A821,"yyyy-mm"))</f>
        <v/>
      </c>
      <c r="E821" s="5">
        <f>IF(A821="","",IF(A821&lt;Eingabe!$B$5,"",INT((A821-Eingabe!$B$5)/(Eingabe!$B$6*7))+1))</f>
        <v/>
      </c>
      <c r="F821" s="8">
        <f>IF(A821="","",SUMPRODUCT((Eingabe!$B$16:$B$165&lt;&gt;"")*(Eingabe!$J$16:$J$165)*--(A821&gt;=Eingabe!$G$16:$G$165)*--(A821&lt;=Eingabe!$H$16:$H$165)*--(WEEKDAY(A821,2)&lt;=5)))</f>
        <v/>
      </c>
      <c r="G821" s="8">
        <f>IF(A821="","",SUM($F$2:F821))</f>
        <v/>
      </c>
      <c r="H821" s="8">
        <f>IF(A821="","",Eingabe!$B$7-G821)</f>
        <v/>
      </c>
      <c r="I821" s="8">
        <f>IF(A821="","",Eingabe!$B$8-SUMIFS($F$2:F821,$D$2:D821,D821))</f>
        <v/>
      </c>
      <c r="J821" s="8">
        <f>IF(A821="","",IF(E821="",1E+99,IFERROR(VLOOKUP(E821,Eingabe!$D$5:$E$44,2,FALSE),Eingabe!$B$9)))</f>
        <v/>
      </c>
      <c r="K821" s="8">
        <f>IF(A821="","",IF(E821="",1E+99,J821-SUMIFS($F$2:F821,$E$2:E821,E821)))</f>
        <v/>
      </c>
      <c r="L821" s="5">
        <f>IF(A821="","",IF(OR(H821&lt;0,I821&lt;0,K821&lt;0),"UNMOEGLICH","OK"))</f>
        <v/>
      </c>
    </row>
    <row r="822">
      <c r="A822" s="7">
        <f>IF(ROW()-1&lt;=Eingabe!$B$4-Eingabe!$B$3+1,Eingabe!$B$3+ROW()-2,"")</f>
        <v/>
      </c>
      <c r="B822" s="5">
        <f>IF(A822="","",TEXT(A822,"yyyy-mm-dd"))</f>
        <v/>
      </c>
      <c r="C822" s="5">
        <f>IF(A822="","",TEXT(A822,"ddd"))</f>
        <v/>
      </c>
      <c r="D822" s="5">
        <f>IF(A822="","",TEXT(A822,"yyyy-mm"))</f>
        <v/>
      </c>
      <c r="E822" s="5">
        <f>IF(A822="","",IF(A822&lt;Eingabe!$B$5,"",INT((A822-Eingabe!$B$5)/(Eingabe!$B$6*7))+1))</f>
        <v/>
      </c>
      <c r="F822" s="8">
        <f>IF(A822="","",SUMPRODUCT((Eingabe!$B$16:$B$165&lt;&gt;"")*(Eingabe!$J$16:$J$165)*--(A822&gt;=Eingabe!$G$16:$G$165)*--(A822&lt;=Eingabe!$H$16:$H$165)*--(WEEKDAY(A822,2)&lt;=5)))</f>
        <v/>
      </c>
      <c r="G822" s="8">
        <f>IF(A822="","",SUM($F$2:F822))</f>
        <v/>
      </c>
      <c r="H822" s="8">
        <f>IF(A822="","",Eingabe!$B$7-G822)</f>
        <v/>
      </c>
      <c r="I822" s="8">
        <f>IF(A822="","",Eingabe!$B$8-SUMIFS($F$2:F822,$D$2:D822,D822))</f>
        <v/>
      </c>
      <c r="J822" s="8">
        <f>IF(A822="","",IF(E822="",1E+99,IFERROR(VLOOKUP(E822,Eingabe!$D$5:$E$44,2,FALSE),Eingabe!$B$9)))</f>
        <v/>
      </c>
      <c r="K822" s="8">
        <f>IF(A822="","",IF(E822="",1E+99,J822-SUMIFS($F$2:F822,$E$2:E822,E822)))</f>
        <v/>
      </c>
      <c r="L822" s="5">
        <f>IF(A822="","",IF(OR(H822&lt;0,I822&lt;0,K822&lt;0),"UNMOEGLICH","OK"))</f>
        <v/>
      </c>
    </row>
    <row r="823">
      <c r="A823" s="7">
        <f>IF(ROW()-1&lt;=Eingabe!$B$4-Eingabe!$B$3+1,Eingabe!$B$3+ROW()-2,"")</f>
        <v/>
      </c>
      <c r="B823" s="5">
        <f>IF(A823="","",TEXT(A823,"yyyy-mm-dd"))</f>
        <v/>
      </c>
      <c r="C823" s="5">
        <f>IF(A823="","",TEXT(A823,"ddd"))</f>
        <v/>
      </c>
      <c r="D823" s="5">
        <f>IF(A823="","",TEXT(A823,"yyyy-mm"))</f>
        <v/>
      </c>
      <c r="E823" s="5">
        <f>IF(A823="","",IF(A823&lt;Eingabe!$B$5,"",INT((A823-Eingabe!$B$5)/(Eingabe!$B$6*7))+1))</f>
        <v/>
      </c>
      <c r="F823" s="8">
        <f>IF(A823="","",SUMPRODUCT((Eingabe!$B$16:$B$165&lt;&gt;"")*(Eingabe!$J$16:$J$165)*--(A823&gt;=Eingabe!$G$16:$G$165)*--(A823&lt;=Eingabe!$H$16:$H$165)*--(WEEKDAY(A823,2)&lt;=5)))</f>
        <v/>
      </c>
      <c r="G823" s="8">
        <f>IF(A823="","",SUM($F$2:F823))</f>
        <v/>
      </c>
      <c r="H823" s="8">
        <f>IF(A823="","",Eingabe!$B$7-G823)</f>
        <v/>
      </c>
      <c r="I823" s="8">
        <f>IF(A823="","",Eingabe!$B$8-SUMIFS($F$2:F823,$D$2:D823,D823))</f>
        <v/>
      </c>
      <c r="J823" s="8">
        <f>IF(A823="","",IF(E823="",1E+99,IFERROR(VLOOKUP(E823,Eingabe!$D$5:$E$44,2,FALSE),Eingabe!$B$9)))</f>
        <v/>
      </c>
      <c r="K823" s="8">
        <f>IF(A823="","",IF(E823="",1E+99,J823-SUMIFS($F$2:F823,$E$2:E823,E823)))</f>
        <v/>
      </c>
      <c r="L823" s="5">
        <f>IF(A823="","",IF(OR(H823&lt;0,I823&lt;0,K823&lt;0),"UNMOEGLICH","OK"))</f>
        <v/>
      </c>
    </row>
    <row r="824">
      <c r="A824" s="7">
        <f>IF(ROW()-1&lt;=Eingabe!$B$4-Eingabe!$B$3+1,Eingabe!$B$3+ROW()-2,"")</f>
        <v/>
      </c>
      <c r="B824" s="5">
        <f>IF(A824="","",TEXT(A824,"yyyy-mm-dd"))</f>
        <v/>
      </c>
      <c r="C824" s="5">
        <f>IF(A824="","",TEXT(A824,"ddd"))</f>
        <v/>
      </c>
      <c r="D824" s="5">
        <f>IF(A824="","",TEXT(A824,"yyyy-mm"))</f>
        <v/>
      </c>
      <c r="E824" s="5">
        <f>IF(A824="","",IF(A824&lt;Eingabe!$B$5,"",INT((A824-Eingabe!$B$5)/(Eingabe!$B$6*7))+1))</f>
        <v/>
      </c>
      <c r="F824" s="8">
        <f>IF(A824="","",SUMPRODUCT((Eingabe!$B$16:$B$165&lt;&gt;"")*(Eingabe!$J$16:$J$165)*--(A824&gt;=Eingabe!$G$16:$G$165)*--(A824&lt;=Eingabe!$H$16:$H$165)*--(WEEKDAY(A824,2)&lt;=5)))</f>
        <v/>
      </c>
      <c r="G824" s="8">
        <f>IF(A824="","",SUM($F$2:F824))</f>
        <v/>
      </c>
      <c r="H824" s="8">
        <f>IF(A824="","",Eingabe!$B$7-G824)</f>
        <v/>
      </c>
      <c r="I824" s="8">
        <f>IF(A824="","",Eingabe!$B$8-SUMIFS($F$2:F824,$D$2:D824,D824))</f>
        <v/>
      </c>
      <c r="J824" s="8">
        <f>IF(A824="","",IF(E824="",1E+99,IFERROR(VLOOKUP(E824,Eingabe!$D$5:$E$44,2,FALSE),Eingabe!$B$9)))</f>
        <v/>
      </c>
      <c r="K824" s="8">
        <f>IF(A824="","",IF(E824="",1E+99,J824-SUMIFS($F$2:F824,$E$2:E824,E824)))</f>
        <v/>
      </c>
      <c r="L824" s="5">
        <f>IF(A824="","",IF(OR(H824&lt;0,I824&lt;0,K824&lt;0),"UNMOEGLICH","OK"))</f>
        <v/>
      </c>
    </row>
    <row r="825">
      <c r="A825" s="7">
        <f>IF(ROW()-1&lt;=Eingabe!$B$4-Eingabe!$B$3+1,Eingabe!$B$3+ROW()-2,"")</f>
        <v/>
      </c>
      <c r="B825" s="5">
        <f>IF(A825="","",TEXT(A825,"yyyy-mm-dd"))</f>
        <v/>
      </c>
      <c r="C825" s="5">
        <f>IF(A825="","",TEXT(A825,"ddd"))</f>
        <v/>
      </c>
      <c r="D825" s="5">
        <f>IF(A825="","",TEXT(A825,"yyyy-mm"))</f>
        <v/>
      </c>
      <c r="E825" s="5">
        <f>IF(A825="","",IF(A825&lt;Eingabe!$B$5,"",INT((A825-Eingabe!$B$5)/(Eingabe!$B$6*7))+1))</f>
        <v/>
      </c>
      <c r="F825" s="8">
        <f>IF(A825="","",SUMPRODUCT((Eingabe!$B$16:$B$165&lt;&gt;"")*(Eingabe!$J$16:$J$165)*--(A825&gt;=Eingabe!$G$16:$G$165)*--(A825&lt;=Eingabe!$H$16:$H$165)*--(WEEKDAY(A825,2)&lt;=5)))</f>
        <v/>
      </c>
      <c r="G825" s="8">
        <f>IF(A825="","",SUM($F$2:F825))</f>
        <v/>
      </c>
      <c r="H825" s="8">
        <f>IF(A825="","",Eingabe!$B$7-G825)</f>
        <v/>
      </c>
      <c r="I825" s="8">
        <f>IF(A825="","",Eingabe!$B$8-SUMIFS($F$2:F825,$D$2:D825,D825))</f>
        <v/>
      </c>
      <c r="J825" s="8">
        <f>IF(A825="","",IF(E825="",1E+99,IFERROR(VLOOKUP(E825,Eingabe!$D$5:$E$44,2,FALSE),Eingabe!$B$9)))</f>
        <v/>
      </c>
      <c r="K825" s="8">
        <f>IF(A825="","",IF(E825="",1E+99,J825-SUMIFS($F$2:F825,$E$2:E825,E825)))</f>
        <v/>
      </c>
      <c r="L825" s="5">
        <f>IF(A825="","",IF(OR(H825&lt;0,I825&lt;0,K825&lt;0),"UNMOEGLICH","OK"))</f>
        <v/>
      </c>
    </row>
    <row r="826">
      <c r="A826" s="7">
        <f>IF(ROW()-1&lt;=Eingabe!$B$4-Eingabe!$B$3+1,Eingabe!$B$3+ROW()-2,"")</f>
        <v/>
      </c>
      <c r="B826" s="5">
        <f>IF(A826="","",TEXT(A826,"yyyy-mm-dd"))</f>
        <v/>
      </c>
      <c r="C826" s="5">
        <f>IF(A826="","",TEXT(A826,"ddd"))</f>
        <v/>
      </c>
      <c r="D826" s="5">
        <f>IF(A826="","",TEXT(A826,"yyyy-mm"))</f>
        <v/>
      </c>
      <c r="E826" s="5">
        <f>IF(A826="","",IF(A826&lt;Eingabe!$B$5,"",INT((A826-Eingabe!$B$5)/(Eingabe!$B$6*7))+1))</f>
        <v/>
      </c>
      <c r="F826" s="8">
        <f>IF(A826="","",SUMPRODUCT((Eingabe!$B$16:$B$165&lt;&gt;"")*(Eingabe!$J$16:$J$165)*--(A826&gt;=Eingabe!$G$16:$G$165)*--(A826&lt;=Eingabe!$H$16:$H$165)*--(WEEKDAY(A826,2)&lt;=5)))</f>
        <v/>
      </c>
      <c r="G826" s="8">
        <f>IF(A826="","",SUM($F$2:F826))</f>
        <v/>
      </c>
      <c r="H826" s="8">
        <f>IF(A826="","",Eingabe!$B$7-G826)</f>
        <v/>
      </c>
      <c r="I826" s="8">
        <f>IF(A826="","",Eingabe!$B$8-SUMIFS($F$2:F826,$D$2:D826,D826))</f>
        <v/>
      </c>
      <c r="J826" s="8">
        <f>IF(A826="","",IF(E826="",1E+99,IFERROR(VLOOKUP(E826,Eingabe!$D$5:$E$44,2,FALSE),Eingabe!$B$9)))</f>
        <v/>
      </c>
      <c r="K826" s="8">
        <f>IF(A826="","",IF(E826="",1E+99,J826-SUMIFS($F$2:F826,$E$2:E826,E826)))</f>
        <v/>
      </c>
      <c r="L826" s="5">
        <f>IF(A826="","",IF(OR(H826&lt;0,I826&lt;0,K826&lt;0),"UNMOEGLICH","OK"))</f>
        <v/>
      </c>
    </row>
    <row r="827">
      <c r="A827" s="7">
        <f>IF(ROW()-1&lt;=Eingabe!$B$4-Eingabe!$B$3+1,Eingabe!$B$3+ROW()-2,"")</f>
        <v/>
      </c>
      <c r="B827" s="5">
        <f>IF(A827="","",TEXT(A827,"yyyy-mm-dd"))</f>
        <v/>
      </c>
      <c r="C827" s="5">
        <f>IF(A827="","",TEXT(A827,"ddd"))</f>
        <v/>
      </c>
      <c r="D827" s="5">
        <f>IF(A827="","",TEXT(A827,"yyyy-mm"))</f>
        <v/>
      </c>
      <c r="E827" s="5">
        <f>IF(A827="","",IF(A827&lt;Eingabe!$B$5,"",INT((A827-Eingabe!$B$5)/(Eingabe!$B$6*7))+1))</f>
        <v/>
      </c>
      <c r="F827" s="8">
        <f>IF(A827="","",SUMPRODUCT((Eingabe!$B$16:$B$165&lt;&gt;"")*(Eingabe!$J$16:$J$165)*--(A827&gt;=Eingabe!$G$16:$G$165)*--(A827&lt;=Eingabe!$H$16:$H$165)*--(WEEKDAY(A827,2)&lt;=5)))</f>
        <v/>
      </c>
      <c r="G827" s="8">
        <f>IF(A827="","",SUM($F$2:F827))</f>
        <v/>
      </c>
      <c r="H827" s="8">
        <f>IF(A827="","",Eingabe!$B$7-G827)</f>
        <v/>
      </c>
      <c r="I827" s="8">
        <f>IF(A827="","",Eingabe!$B$8-SUMIFS($F$2:F827,$D$2:D827,D827))</f>
        <v/>
      </c>
      <c r="J827" s="8">
        <f>IF(A827="","",IF(E827="",1E+99,IFERROR(VLOOKUP(E827,Eingabe!$D$5:$E$44,2,FALSE),Eingabe!$B$9)))</f>
        <v/>
      </c>
      <c r="K827" s="8">
        <f>IF(A827="","",IF(E827="",1E+99,J827-SUMIFS($F$2:F827,$E$2:E827,E827)))</f>
        <v/>
      </c>
      <c r="L827" s="5">
        <f>IF(A827="","",IF(OR(H827&lt;0,I827&lt;0,K827&lt;0),"UNMOEGLICH","OK"))</f>
        <v/>
      </c>
    </row>
    <row r="828">
      <c r="A828" s="7">
        <f>IF(ROW()-1&lt;=Eingabe!$B$4-Eingabe!$B$3+1,Eingabe!$B$3+ROW()-2,"")</f>
        <v/>
      </c>
      <c r="B828" s="5">
        <f>IF(A828="","",TEXT(A828,"yyyy-mm-dd"))</f>
        <v/>
      </c>
      <c r="C828" s="5">
        <f>IF(A828="","",TEXT(A828,"ddd"))</f>
        <v/>
      </c>
      <c r="D828" s="5">
        <f>IF(A828="","",TEXT(A828,"yyyy-mm"))</f>
        <v/>
      </c>
      <c r="E828" s="5">
        <f>IF(A828="","",IF(A828&lt;Eingabe!$B$5,"",INT((A828-Eingabe!$B$5)/(Eingabe!$B$6*7))+1))</f>
        <v/>
      </c>
      <c r="F828" s="8">
        <f>IF(A828="","",SUMPRODUCT((Eingabe!$B$16:$B$165&lt;&gt;"")*(Eingabe!$J$16:$J$165)*--(A828&gt;=Eingabe!$G$16:$G$165)*--(A828&lt;=Eingabe!$H$16:$H$165)*--(WEEKDAY(A828,2)&lt;=5)))</f>
        <v/>
      </c>
      <c r="G828" s="8">
        <f>IF(A828="","",SUM($F$2:F828))</f>
        <v/>
      </c>
      <c r="H828" s="8">
        <f>IF(A828="","",Eingabe!$B$7-G828)</f>
        <v/>
      </c>
      <c r="I828" s="8">
        <f>IF(A828="","",Eingabe!$B$8-SUMIFS($F$2:F828,$D$2:D828,D828))</f>
        <v/>
      </c>
      <c r="J828" s="8">
        <f>IF(A828="","",IF(E828="",1E+99,IFERROR(VLOOKUP(E828,Eingabe!$D$5:$E$44,2,FALSE),Eingabe!$B$9)))</f>
        <v/>
      </c>
      <c r="K828" s="8">
        <f>IF(A828="","",IF(E828="",1E+99,J828-SUMIFS($F$2:F828,$E$2:E828,E828)))</f>
        <v/>
      </c>
      <c r="L828" s="5">
        <f>IF(A828="","",IF(OR(H828&lt;0,I828&lt;0,K828&lt;0),"UNMOEGLICH","OK"))</f>
        <v/>
      </c>
    </row>
    <row r="829">
      <c r="A829" s="7">
        <f>IF(ROW()-1&lt;=Eingabe!$B$4-Eingabe!$B$3+1,Eingabe!$B$3+ROW()-2,"")</f>
        <v/>
      </c>
      <c r="B829" s="5">
        <f>IF(A829="","",TEXT(A829,"yyyy-mm-dd"))</f>
        <v/>
      </c>
      <c r="C829" s="5">
        <f>IF(A829="","",TEXT(A829,"ddd"))</f>
        <v/>
      </c>
      <c r="D829" s="5">
        <f>IF(A829="","",TEXT(A829,"yyyy-mm"))</f>
        <v/>
      </c>
      <c r="E829" s="5">
        <f>IF(A829="","",IF(A829&lt;Eingabe!$B$5,"",INT((A829-Eingabe!$B$5)/(Eingabe!$B$6*7))+1))</f>
        <v/>
      </c>
      <c r="F829" s="8">
        <f>IF(A829="","",SUMPRODUCT((Eingabe!$B$16:$B$165&lt;&gt;"")*(Eingabe!$J$16:$J$165)*--(A829&gt;=Eingabe!$G$16:$G$165)*--(A829&lt;=Eingabe!$H$16:$H$165)*--(WEEKDAY(A829,2)&lt;=5)))</f>
        <v/>
      </c>
      <c r="G829" s="8">
        <f>IF(A829="","",SUM($F$2:F829))</f>
        <v/>
      </c>
      <c r="H829" s="8">
        <f>IF(A829="","",Eingabe!$B$7-G829)</f>
        <v/>
      </c>
      <c r="I829" s="8">
        <f>IF(A829="","",Eingabe!$B$8-SUMIFS($F$2:F829,$D$2:D829,D829))</f>
        <v/>
      </c>
      <c r="J829" s="8">
        <f>IF(A829="","",IF(E829="",1E+99,IFERROR(VLOOKUP(E829,Eingabe!$D$5:$E$44,2,FALSE),Eingabe!$B$9)))</f>
        <v/>
      </c>
      <c r="K829" s="8">
        <f>IF(A829="","",IF(E829="",1E+99,J829-SUMIFS($F$2:F829,$E$2:E829,E829)))</f>
        <v/>
      </c>
      <c r="L829" s="5">
        <f>IF(A829="","",IF(OR(H829&lt;0,I829&lt;0,K829&lt;0),"UNMOEGLICH","OK"))</f>
        <v/>
      </c>
    </row>
    <row r="830">
      <c r="A830" s="7">
        <f>IF(ROW()-1&lt;=Eingabe!$B$4-Eingabe!$B$3+1,Eingabe!$B$3+ROW()-2,"")</f>
        <v/>
      </c>
      <c r="B830" s="5">
        <f>IF(A830="","",TEXT(A830,"yyyy-mm-dd"))</f>
        <v/>
      </c>
      <c r="C830" s="5">
        <f>IF(A830="","",TEXT(A830,"ddd"))</f>
        <v/>
      </c>
      <c r="D830" s="5">
        <f>IF(A830="","",TEXT(A830,"yyyy-mm"))</f>
        <v/>
      </c>
      <c r="E830" s="5">
        <f>IF(A830="","",IF(A830&lt;Eingabe!$B$5,"",INT((A830-Eingabe!$B$5)/(Eingabe!$B$6*7))+1))</f>
        <v/>
      </c>
      <c r="F830" s="8">
        <f>IF(A830="","",SUMPRODUCT((Eingabe!$B$16:$B$165&lt;&gt;"")*(Eingabe!$J$16:$J$165)*--(A830&gt;=Eingabe!$G$16:$G$165)*--(A830&lt;=Eingabe!$H$16:$H$165)*--(WEEKDAY(A830,2)&lt;=5)))</f>
        <v/>
      </c>
      <c r="G830" s="8">
        <f>IF(A830="","",SUM($F$2:F830))</f>
        <v/>
      </c>
      <c r="H830" s="8">
        <f>IF(A830="","",Eingabe!$B$7-G830)</f>
        <v/>
      </c>
      <c r="I830" s="8">
        <f>IF(A830="","",Eingabe!$B$8-SUMIFS($F$2:F830,$D$2:D830,D830))</f>
        <v/>
      </c>
      <c r="J830" s="8">
        <f>IF(A830="","",IF(E830="",1E+99,IFERROR(VLOOKUP(E830,Eingabe!$D$5:$E$44,2,FALSE),Eingabe!$B$9)))</f>
        <v/>
      </c>
      <c r="K830" s="8">
        <f>IF(A830="","",IF(E830="",1E+99,J830-SUMIFS($F$2:F830,$E$2:E830,E830)))</f>
        <v/>
      </c>
      <c r="L830" s="5">
        <f>IF(A830="","",IF(OR(H830&lt;0,I830&lt;0,K830&lt;0),"UNMOEGLICH","OK"))</f>
        <v/>
      </c>
    </row>
    <row r="831">
      <c r="A831" s="7">
        <f>IF(ROW()-1&lt;=Eingabe!$B$4-Eingabe!$B$3+1,Eingabe!$B$3+ROW()-2,"")</f>
        <v/>
      </c>
      <c r="B831" s="5">
        <f>IF(A831="","",TEXT(A831,"yyyy-mm-dd"))</f>
        <v/>
      </c>
      <c r="C831" s="5">
        <f>IF(A831="","",TEXT(A831,"ddd"))</f>
        <v/>
      </c>
      <c r="D831" s="5">
        <f>IF(A831="","",TEXT(A831,"yyyy-mm"))</f>
        <v/>
      </c>
      <c r="E831" s="5">
        <f>IF(A831="","",IF(A831&lt;Eingabe!$B$5,"",INT((A831-Eingabe!$B$5)/(Eingabe!$B$6*7))+1))</f>
        <v/>
      </c>
      <c r="F831" s="8">
        <f>IF(A831="","",SUMPRODUCT((Eingabe!$B$16:$B$165&lt;&gt;"")*(Eingabe!$J$16:$J$165)*--(A831&gt;=Eingabe!$G$16:$G$165)*--(A831&lt;=Eingabe!$H$16:$H$165)*--(WEEKDAY(A831,2)&lt;=5)))</f>
        <v/>
      </c>
      <c r="G831" s="8">
        <f>IF(A831="","",SUM($F$2:F831))</f>
        <v/>
      </c>
      <c r="H831" s="8">
        <f>IF(A831="","",Eingabe!$B$7-G831)</f>
        <v/>
      </c>
      <c r="I831" s="8">
        <f>IF(A831="","",Eingabe!$B$8-SUMIFS($F$2:F831,$D$2:D831,D831))</f>
        <v/>
      </c>
      <c r="J831" s="8">
        <f>IF(A831="","",IF(E831="",1E+99,IFERROR(VLOOKUP(E831,Eingabe!$D$5:$E$44,2,FALSE),Eingabe!$B$9)))</f>
        <v/>
      </c>
      <c r="K831" s="8">
        <f>IF(A831="","",IF(E831="",1E+99,J831-SUMIFS($F$2:F831,$E$2:E831,E831)))</f>
        <v/>
      </c>
      <c r="L831" s="5">
        <f>IF(A831="","",IF(OR(H831&lt;0,I831&lt;0,K831&lt;0),"UNMOEGLICH","OK"))</f>
        <v/>
      </c>
    </row>
    <row r="832">
      <c r="A832" s="7">
        <f>IF(ROW()-1&lt;=Eingabe!$B$4-Eingabe!$B$3+1,Eingabe!$B$3+ROW()-2,"")</f>
        <v/>
      </c>
      <c r="B832" s="5">
        <f>IF(A832="","",TEXT(A832,"yyyy-mm-dd"))</f>
        <v/>
      </c>
      <c r="C832" s="5">
        <f>IF(A832="","",TEXT(A832,"ddd"))</f>
        <v/>
      </c>
      <c r="D832" s="5">
        <f>IF(A832="","",TEXT(A832,"yyyy-mm"))</f>
        <v/>
      </c>
      <c r="E832" s="5">
        <f>IF(A832="","",IF(A832&lt;Eingabe!$B$5,"",INT((A832-Eingabe!$B$5)/(Eingabe!$B$6*7))+1))</f>
        <v/>
      </c>
      <c r="F832" s="8">
        <f>IF(A832="","",SUMPRODUCT((Eingabe!$B$16:$B$165&lt;&gt;"")*(Eingabe!$J$16:$J$165)*--(A832&gt;=Eingabe!$G$16:$G$165)*--(A832&lt;=Eingabe!$H$16:$H$165)*--(WEEKDAY(A832,2)&lt;=5)))</f>
        <v/>
      </c>
      <c r="G832" s="8">
        <f>IF(A832="","",SUM($F$2:F832))</f>
        <v/>
      </c>
      <c r="H832" s="8">
        <f>IF(A832="","",Eingabe!$B$7-G832)</f>
        <v/>
      </c>
      <c r="I832" s="8">
        <f>IF(A832="","",Eingabe!$B$8-SUMIFS($F$2:F832,$D$2:D832,D832))</f>
        <v/>
      </c>
      <c r="J832" s="8">
        <f>IF(A832="","",IF(E832="",1E+99,IFERROR(VLOOKUP(E832,Eingabe!$D$5:$E$44,2,FALSE),Eingabe!$B$9)))</f>
        <v/>
      </c>
      <c r="K832" s="8">
        <f>IF(A832="","",IF(E832="",1E+99,J832-SUMIFS($F$2:F832,$E$2:E832,E832)))</f>
        <v/>
      </c>
      <c r="L832" s="5">
        <f>IF(A832="","",IF(OR(H832&lt;0,I832&lt;0,K832&lt;0),"UNMOEGLICH","OK"))</f>
        <v/>
      </c>
    </row>
    <row r="833">
      <c r="A833" s="7">
        <f>IF(ROW()-1&lt;=Eingabe!$B$4-Eingabe!$B$3+1,Eingabe!$B$3+ROW()-2,"")</f>
        <v/>
      </c>
      <c r="B833" s="5">
        <f>IF(A833="","",TEXT(A833,"yyyy-mm-dd"))</f>
        <v/>
      </c>
      <c r="C833" s="5">
        <f>IF(A833="","",TEXT(A833,"ddd"))</f>
        <v/>
      </c>
      <c r="D833" s="5">
        <f>IF(A833="","",TEXT(A833,"yyyy-mm"))</f>
        <v/>
      </c>
      <c r="E833" s="5">
        <f>IF(A833="","",IF(A833&lt;Eingabe!$B$5,"",INT((A833-Eingabe!$B$5)/(Eingabe!$B$6*7))+1))</f>
        <v/>
      </c>
      <c r="F833" s="8">
        <f>IF(A833="","",SUMPRODUCT((Eingabe!$B$16:$B$165&lt;&gt;"")*(Eingabe!$J$16:$J$165)*--(A833&gt;=Eingabe!$G$16:$G$165)*--(A833&lt;=Eingabe!$H$16:$H$165)*--(WEEKDAY(A833,2)&lt;=5)))</f>
        <v/>
      </c>
      <c r="G833" s="8">
        <f>IF(A833="","",SUM($F$2:F833))</f>
        <v/>
      </c>
      <c r="H833" s="8">
        <f>IF(A833="","",Eingabe!$B$7-G833)</f>
        <v/>
      </c>
      <c r="I833" s="8">
        <f>IF(A833="","",Eingabe!$B$8-SUMIFS($F$2:F833,$D$2:D833,D833))</f>
        <v/>
      </c>
      <c r="J833" s="8">
        <f>IF(A833="","",IF(E833="",1E+99,IFERROR(VLOOKUP(E833,Eingabe!$D$5:$E$44,2,FALSE),Eingabe!$B$9)))</f>
        <v/>
      </c>
      <c r="K833" s="8">
        <f>IF(A833="","",IF(E833="",1E+99,J833-SUMIFS($F$2:F833,$E$2:E833,E833)))</f>
        <v/>
      </c>
      <c r="L833" s="5">
        <f>IF(A833="","",IF(OR(H833&lt;0,I833&lt;0,K833&lt;0),"UNMOEGLICH","OK"))</f>
        <v/>
      </c>
    </row>
    <row r="834">
      <c r="A834" s="7">
        <f>IF(ROW()-1&lt;=Eingabe!$B$4-Eingabe!$B$3+1,Eingabe!$B$3+ROW()-2,"")</f>
        <v/>
      </c>
      <c r="B834" s="5">
        <f>IF(A834="","",TEXT(A834,"yyyy-mm-dd"))</f>
        <v/>
      </c>
      <c r="C834" s="5">
        <f>IF(A834="","",TEXT(A834,"ddd"))</f>
        <v/>
      </c>
      <c r="D834" s="5">
        <f>IF(A834="","",TEXT(A834,"yyyy-mm"))</f>
        <v/>
      </c>
      <c r="E834" s="5">
        <f>IF(A834="","",IF(A834&lt;Eingabe!$B$5,"",INT((A834-Eingabe!$B$5)/(Eingabe!$B$6*7))+1))</f>
        <v/>
      </c>
      <c r="F834" s="8">
        <f>IF(A834="","",SUMPRODUCT((Eingabe!$B$16:$B$165&lt;&gt;"")*(Eingabe!$J$16:$J$165)*--(A834&gt;=Eingabe!$G$16:$G$165)*--(A834&lt;=Eingabe!$H$16:$H$165)*--(WEEKDAY(A834,2)&lt;=5)))</f>
        <v/>
      </c>
      <c r="G834" s="8">
        <f>IF(A834="","",SUM($F$2:F834))</f>
        <v/>
      </c>
      <c r="H834" s="8">
        <f>IF(A834="","",Eingabe!$B$7-G834)</f>
        <v/>
      </c>
      <c r="I834" s="8">
        <f>IF(A834="","",Eingabe!$B$8-SUMIFS($F$2:F834,$D$2:D834,D834))</f>
        <v/>
      </c>
      <c r="J834" s="8">
        <f>IF(A834="","",IF(E834="",1E+99,IFERROR(VLOOKUP(E834,Eingabe!$D$5:$E$44,2,FALSE),Eingabe!$B$9)))</f>
        <v/>
      </c>
      <c r="K834" s="8">
        <f>IF(A834="","",IF(E834="",1E+99,J834-SUMIFS($F$2:F834,$E$2:E834,E834)))</f>
        <v/>
      </c>
      <c r="L834" s="5">
        <f>IF(A834="","",IF(OR(H834&lt;0,I834&lt;0,K834&lt;0),"UNMOEGLICH","OK"))</f>
        <v/>
      </c>
    </row>
    <row r="835">
      <c r="A835" s="7">
        <f>IF(ROW()-1&lt;=Eingabe!$B$4-Eingabe!$B$3+1,Eingabe!$B$3+ROW()-2,"")</f>
        <v/>
      </c>
      <c r="B835" s="5">
        <f>IF(A835="","",TEXT(A835,"yyyy-mm-dd"))</f>
        <v/>
      </c>
      <c r="C835" s="5">
        <f>IF(A835="","",TEXT(A835,"ddd"))</f>
        <v/>
      </c>
      <c r="D835" s="5">
        <f>IF(A835="","",TEXT(A835,"yyyy-mm"))</f>
        <v/>
      </c>
      <c r="E835" s="5">
        <f>IF(A835="","",IF(A835&lt;Eingabe!$B$5,"",INT((A835-Eingabe!$B$5)/(Eingabe!$B$6*7))+1))</f>
        <v/>
      </c>
      <c r="F835" s="8">
        <f>IF(A835="","",SUMPRODUCT((Eingabe!$B$16:$B$165&lt;&gt;"")*(Eingabe!$J$16:$J$165)*--(A835&gt;=Eingabe!$G$16:$G$165)*--(A835&lt;=Eingabe!$H$16:$H$165)*--(WEEKDAY(A835,2)&lt;=5)))</f>
        <v/>
      </c>
      <c r="G835" s="8">
        <f>IF(A835="","",SUM($F$2:F835))</f>
        <v/>
      </c>
      <c r="H835" s="8">
        <f>IF(A835="","",Eingabe!$B$7-G835)</f>
        <v/>
      </c>
      <c r="I835" s="8">
        <f>IF(A835="","",Eingabe!$B$8-SUMIFS($F$2:F835,$D$2:D835,D835))</f>
        <v/>
      </c>
      <c r="J835" s="8">
        <f>IF(A835="","",IF(E835="",1E+99,IFERROR(VLOOKUP(E835,Eingabe!$D$5:$E$44,2,FALSE),Eingabe!$B$9)))</f>
        <v/>
      </c>
      <c r="K835" s="8">
        <f>IF(A835="","",IF(E835="",1E+99,J835-SUMIFS($F$2:F835,$E$2:E835,E835)))</f>
        <v/>
      </c>
      <c r="L835" s="5">
        <f>IF(A835="","",IF(OR(H835&lt;0,I835&lt;0,K835&lt;0),"UNMOEGLICH","OK"))</f>
        <v/>
      </c>
    </row>
    <row r="836">
      <c r="A836" s="7">
        <f>IF(ROW()-1&lt;=Eingabe!$B$4-Eingabe!$B$3+1,Eingabe!$B$3+ROW()-2,"")</f>
        <v/>
      </c>
      <c r="B836" s="5">
        <f>IF(A836="","",TEXT(A836,"yyyy-mm-dd"))</f>
        <v/>
      </c>
      <c r="C836" s="5">
        <f>IF(A836="","",TEXT(A836,"ddd"))</f>
        <v/>
      </c>
      <c r="D836" s="5">
        <f>IF(A836="","",TEXT(A836,"yyyy-mm"))</f>
        <v/>
      </c>
      <c r="E836" s="5">
        <f>IF(A836="","",IF(A836&lt;Eingabe!$B$5,"",INT((A836-Eingabe!$B$5)/(Eingabe!$B$6*7))+1))</f>
        <v/>
      </c>
      <c r="F836" s="8">
        <f>IF(A836="","",SUMPRODUCT((Eingabe!$B$16:$B$165&lt;&gt;"")*(Eingabe!$J$16:$J$165)*--(A836&gt;=Eingabe!$G$16:$G$165)*--(A836&lt;=Eingabe!$H$16:$H$165)*--(WEEKDAY(A836,2)&lt;=5)))</f>
        <v/>
      </c>
      <c r="G836" s="8">
        <f>IF(A836="","",SUM($F$2:F836))</f>
        <v/>
      </c>
      <c r="H836" s="8">
        <f>IF(A836="","",Eingabe!$B$7-G836)</f>
        <v/>
      </c>
      <c r="I836" s="8">
        <f>IF(A836="","",Eingabe!$B$8-SUMIFS($F$2:F836,$D$2:D836,D836))</f>
        <v/>
      </c>
      <c r="J836" s="8">
        <f>IF(A836="","",IF(E836="",1E+99,IFERROR(VLOOKUP(E836,Eingabe!$D$5:$E$44,2,FALSE),Eingabe!$B$9)))</f>
        <v/>
      </c>
      <c r="K836" s="8">
        <f>IF(A836="","",IF(E836="",1E+99,J836-SUMIFS($F$2:F836,$E$2:E836,E836)))</f>
        <v/>
      </c>
      <c r="L836" s="5">
        <f>IF(A836="","",IF(OR(H836&lt;0,I836&lt;0,K836&lt;0),"UNMOEGLICH","OK"))</f>
        <v/>
      </c>
    </row>
    <row r="837">
      <c r="A837" s="7">
        <f>IF(ROW()-1&lt;=Eingabe!$B$4-Eingabe!$B$3+1,Eingabe!$B$3+ROW()-2,"")</f>
        <v/>
      </c>
      <c r="B837" s="5">
        <f>IF(A837="","",TEXT(A837,"yyyy-mm-dd"))</f>
        <v/>
      </c>
      <c r="C837" s="5">
        <f>IF(A837="","",TEXT(A837,"ddd"))</f>
        <v/>
      </c>
      <c r="D837" s="5">
        <f>IF(A837="","",TEXT(A837,"yyyy-mm"))</f>
        <v/>
      </c>
      <c r="E837" s="5">
        <f>IF(A837="","",IF(A837&lt;Eingabe!$B$5,"",INT((A837-Eingabe!$B$5)/(Eingabe!$B$6*7))+1))</f>
        <v/>
      </c>
      <c r="F837" s="8">
        <f>IF(A837="","",SUMPRODUCT((Eingabe!$B$16:$B$165&lt;&gt;"")*(Eingabe!$J$16:$J$165)*--(A837&gt;=Eingabe!$G$16:$G$165)*--(A837&lt;=Eingabe!$H$16:$H$165)*--(WEEKDAY(A837,2)&lt;=5)))</f>
        <v/>
      </c>
      <c r="G837" s="8">
        <f>IF(A837="","",SUM($F$2:F837))</f>
        <v/>
      </c>
      <c r="H837" s="8">
        <f>IF(A837="","",Eingabe!$B$7-G837)</f>
        <v/>
      </c>
      <c r="I837" s="8">
        <f>IF(A837="","",Eingabe!$B$8-SUMIFS($F$2:F837,$D$2:D837,D837))</f>
        <v/>
      </c>
      <c r="J837" s="8">
        <f>IF(A837="","",IF(E837="",1E+99,IFERROR(VLOOKUP(E837,Eingabe!$D$5:$E$44,2,FALSE),Eingabe!$B$9)))</f>
        <v/>
      </c>
      <c r="K837" s="8">
        <f>IF(A837="","",IF(E837="",1E+99,J837-SUMIFS($F$2:F837,$E$2:E837,E837)))</f>
        <v/>
      </c>
      <c r="L837" s="5">
        <f>IF(A837="","",IF(OR(H837&lt;0,I837&lt;0,K837&lt;0),"UNMOEGLICH","OK"))</f>
        <v/>
      </c>
    </row>
    <row r="838">
      <c r="A838" s="7">
        <f>IF(ROW()-1&lt;=Eingabe!$B$4-Eingabe!$B$3+1,Eingabe!$B$3+ROW()-2,"")</f>
        <v/>
      </c>
      <c r="B838" s="5">
        <f>IF(A838="","",TEXT(A838,"yyyy-mm-dd"))</f>
        <v/>
      </c>
      <c r="C838" s="5">
        <f>IF(A838="","",TEXT(A838,"ddd"))</f>
        <v/>
      </c>
      <c r="D838" s="5">
        <f>IF(A838="","",TEXT(A838,"yyyy-mm"))</f>
        <v/>
      </c>
      <c r="E838" s="5">
        <f>IF(A838="","",IF(A838&lt;Eingabe!$B$5,"",INT((A838-Eingabe!$B$5)/(Eingabe!$B$6*7))+1))</f>
        <v/>
      </c>
      <c r="F838" s="8">
        <f>IF(A838="","",SUMPRODUCT((Eingabe!$B$16:$B$165&lt;&gt;"")*(Eingabe!$J$16:$J$165)*--(A838&gt;=Eingabe!$G$16:$G$165)*--(A838&lt;=Eingabe!$H$16:$H$165)*--(WEEKDAY(A838,2)&lt;=5)))</f>
        <v/>
      </c>
      <c r="G838" s="8">
        <f>IF(A838="","",SUM($F$2:F838))</f>
        <v/>
      </c>
      <c r="H838" s="8">
        <f>IF(A838="","",Eingabe!$B$7-G838)</f>
        <v/>
      </c>
      <c r="I838" s="8">
        <f>IF(A838="","",Eingabe!$B$8-SUMIFS($F$2:F838,$D$2:D838,D838))</f>
        <v/>
      </c>
      <c r="J838" s="8">
        <f>IF(A838="","",IF(E838="",1E+99,IFERROR(VLOOKUP(E838,Eingabe!$D$5:$E$44,2,FALSE),Eingabe!$B$9)))</f>
        <v/>
      </c>
      <c r="K838" s="8">
        <f>IF(A838="","",IF(E838="",1E+99,J838-SUMIFS($F$2:F838,$E$2:E838,E838)))</f>
        <v/>
      </c>
      <c r="L838" s="5">
        <f>IF(A838="","",IF(OR(H838&lt;0,I838&lt;0,K838&lt;0),"UNMOEGLICH","OK"))</f>
        <v/>
      </c>
    </row>
    <row r="839">
      <c r="A839" s="7">
        <f>IF(ROW()-1&lt;=Eingabe!$B$4-Eingabe!$B$3+1,Eingabe!$B$3+ROW()-2,"")</f>
        <v/>
      </c>
      <c r="B839" s="5">
        <f>IF(A839="","",TEXT(A839,"yyyy-mm-dd"))</f>
        <v/>
      </c>
      <c r="C839" s="5">
        <f>IF(A839="","",TEXT(A839,"ddd"))</f>
        <v/>
      </c>
      <c r="D839" s="5">
        <f>IF(A839="","",TEXT(A839,"yyyy-mm"))</f>
        <v/>
      </c>
      <c r="E839" s="5">
        <f>IF(A839="","",IF(A839&lt;Eingabe!$B$5,"",INT((A839-Eingabe!$B$5)/(Eingabe!$B$6*7))+1))</f>
        <v/>
      </c>
      <c r="F839" s="8">
        <f>IF(A839="","",SUMPRODUCT((Eingabe!$B$16:$B$165&lt;&gt;"")*(Eingabe!$J$16:$J$165)*--(A839&gt;=Eingabe!$G$16:$G$165)*--(A839&lt;=Eingabe!$H$16:$H$165)*--(WEEKDAY(A839,2)&lt;=5)))</f>
        <v/>
      </c>
      <c r="G839" s="8">
        <f>IF(A839="","",SUM($F$2:F839))</f>
        <v/>
      </c>
      <c r="H839" s="8">
        <f>IF(A839="","",Eingabe!$B$7-G839)</f>
        <v/>
      </c>
      <c r="I839" s="8">
        <f>IF(A839="","",Eingabe!$B$8-SUMIFS($F$2:F839,$D$2:D839,D839))</f>
        <v/>
      </c>
      <c r="J839" s="8">
        <f>IF(A839="","",IF(E839="",1E+99,IFERROR(VLOOKUP(E839,Eingabe!$D$5:$E$44,2,FALSE),Eingabe!$B$9)))</f>
        <v/>
      </c>
      <c r="K839" s="8">
        <f>IF(A839="","",IF(E839="",1E+99,J839-SUMIFS($F$2:F839,$E$2:E839,E839)))</f>
        <v/>
      </c>
      <c r="L839" s="5">
        <f>IF(A839="","",IF(OR(H839&lt;0,I839&lt;0,K839&lt;0),"UNMOEGLICH","OK"))</f>
        <v/>
      </c>
    </row>
    <row r="840">
      <c r="A840" s="7">
        <f>IF(ROW()-1&lt;=Eingabe!$B$4-Eingabe!$B$3+1,Eingabe!$B$3+ROW()-2,"")</f>
        <v/>
      </c>
      <c r="B840" s="5">
        <f>IF(A840="","",TEXT(A840,"yyyy-mm-dd"))</f>
        <v/>
      </c>
      <c r="C840" s="5">
        <f>IF(A840="","",TEXT(A840,"ddd"))</f>
        <v/>
      </c>
      <c r="D840" s="5">
        <f>IF(A840="","",TEXT(A840,"yyyy-mm"))</f>
        <v/>
      </c>
      <c r="E840" s="5">
        <f>IF(A840="","",IF(A840&lt;Eingabe!$B$5,"",INT((A840-Eingabe!$B$5)/(Eingabe!$B$6*7))+1))</f>
        <v/>
      </c>
      <c r="F840" s="8">
        <f>IF(A840="","",SUMPRODUCT((Eingabe!$B$16:$B$165&lt;&gt;"")*(Eingabe!$J$16:$J$165)*--(A840&gt;=Eingabe!$G$16:$G$165)*--(A840&lt;=Eingabe!$H$16:$H$165)*--(WEEKDAY(A840,2)&lt;=5)))</f>
        <v/>
      </c>
      <c r="G840" s="8">
        <f>IF(A840="","",SUM($F$2:F840))</f>
        <v/>
      </c>
      <c r="H840" s="8">
        <f>IF(A840="","",Eingabe!$B$7-G840)</f>
        <v/>
      </c>
      <c r="I840" s="8">
        <f>IF(A840="","",Eingabe!$B$8-SUMIFS($F$2:F840,$D$2:D840,D840))</f>
        <v/>
      </c>
      <c r="J840" s="8">
        <f>IF(A840="","",IF(E840="",1E+99,IFERROR(VLOOKUP(E840,Eingabe!$D$5:$E$44,2,FALSE),Eingabe!$B$9)))</f>
        <v/>
      </c>
      <c r="K840" s="8">
        <f>IF(A840="","",IF(E840="",1E+99,J840-SUMIFS($F$2:F840,$E$2:E840,E840)))</f>
        <v/>
      </c>
      <c r="L840" s="5">
        <f>IF(A840="","",IF(OR(H840&lt;0,I840&lt;0,K840&lt;0),"UNMOEGLICH","OK"))</f>
        <v/>
      </c>
    </row>
    <row r="841">
      <c r="A841" s="7">
        <f>IF(ROW()-1&lt;=Eingabe!$B$4-Eingabe!$B$3+1,Eingabe!$B$3+ROW()-2,"")</f>
        <v/>
      </c>
      <c r="B841" s="5">
        <f>IF(A841="","",TEXT(A841,"yyyy-mm-dd"))</f>
        <v/>
      </c>
      <c r="C841" s="5">
        <f>IF(A841="","",TEXT(A841,"ddd"))</f>
        <v/>
      </c>
      <c r="D841" s="5">
        <f>IF(A841="","",TEXT(A841,"yyyy-mm"))</f>
        <v/>
      </c>
      <c r="E841" s="5">
        <f>IF(A841="","",IF(A841&lt;Eingabe!$B$5,"",INT((A841-Eingabe!$B$5)/(Eingabe!$B$6*7))+1))</f>
        <v/>
      </c>
      <c r="F841" s="8">
        <f>IF(A841="","",SUMPRODUCT((Eingabe!$B$16:$B$165&lt;&gt;"")*(Eingabe!$J$16:$J$165)*--(A841&gt;=Eingabe!$G$16:$G$165)*--(A841&lt;=Eingabe!$H$16:$H$165)*--(WEEKDAY(A841,2)&lt;=5)))</f>
        <v/>
      </c>
      <c r="G841" s="8">
        <f>IF(A841="","",SUM($F$2:F841))</f>
        <v/>
      </c>
      <c r="H841" s="8">
        <f>IF(A841="","",Eingabe!$B$7-G841)</f>
        <v/>
      </c>
      <c r="I841" s="8">
        <f>IF(A841="","",Eingabe!$B$8-SUMIFS($F$2:F841,$D$2:D841,D841))</f>
        <v/>
      </c>
      <c r="J841" s="8">
        <f>IF(A841="","",IF(E841="",1E+99,IFERROR(VLOOKUP(E841,Eingabe!$D$5:$E$44,2,FALSE),Eingabe!$B$9)))</f>
        <v/>
      </c>
      <c r="K841" s="8">
        <f>IF(A841="","",IF(E841="",1E+99,J841-SUMIFS($F$2:F841,$E$2:E841,E841)))</f>
        <v/>
      </c>
      <c r="L841" s="5">
        <f>IF(A841="","",IF(OR(H841&lt;0,I841&lt;0,K841&lt;0),"UNMOEGLICH","OK"))</f>
        <v/>
      </c>
    </row>
    <row r="842">
      <c r="A842" s="7">
        <f>IF(ROW()-1&lt;=Eingabe!$B$4-Eingabe!$B$3+1,Eingabe!$B$3+ROW()-2,"")</f>
        <v/>
      </c>
      <c r="B842" s="5">
        <f>IF(A842="","",TEXT(A842,"yyyy-mm-dd"))</f>
        <v/>
      </c>
      <c r="C842" s="5">
        <f>IF(A842="","",TEXT(A842,"ddd"))</f>
        <v/>
      </c>
      <c r="D842" s="5">
        <f>IF(A842="","",TEXT(A842,"yyyy-mm"))</f>
        <v/>
      </c>
      <c r="E842" s="5">
        <f>IF(A842="","",IF(A842&lt;Eingabe!$B$5,"",INT((A842-Eingabe!$B$5)/(Eingabe!$B$6*7))+1))</f>
        <v/>
      </c>
      <c r="F842" s="8">
        <f>IF(A842="","",SUMPRODUCT((Eingabe!$B$16:$B$165&lt;&gt;"")*(Eingabe!$J$16:$J$165)*--(A842&gt;=Eingabe!$G$16:$G$165)*--(A842&lt;=Eingabe!$H$16:$H$165)*--(WEEKDAY(A842,2)&lt;=5)))</f>
        <v/>
      </c>
      <c r="G842" s="8">
        <f>IF(A842="","",SUM($F$2:F842))</f>
        <v/>
      </c>
      <c r="H842" s="8">
        <f>IF(A842="","",Eingabe!$B$7-G842)</f>
        <v/>
      </c>
      <c r="I842" s="8">
        <f>IF(A842="","",Eingabe!$B$8-SUMIFS($F$2:F842,$D$2:D842,D842))</f>
        <v/>
      </c>
      <c r="J842" s="8">
        <f>IF(A842="","",IF(E842="",1E+99,IFERROR(VLOOKUP(E842,Eingabe!$D$5:$E$44,2,FALSE),Eingabe!$B$9)))</f>
        <v/>
      </c>
      <c r="K842" s="8">
        <f>IF(A842="","",IF(E842="",1E+99,J842-SUMIFS($F$2:F842,$E$2:E842,E842)))</f>
        <v/>
      </c>
      <c r="L842" s="5">
        <f>IF(A842="","",IF(OR(H842&lt;0,I842&lt;0,K842&lt;0),"UNMOEGLICH","OK"))</f>
        <v/>
      </c>
    </row>
    <row r="843">
      <c r="A843" s="7">
        <f>IF(ROW()-1&lt;=Eingabe!$B$4-Eingabe!$B$3+1,Eingabe!$B$3+ROW()-2,"")</f>
        <v/>
      </c>
      <c r="B843" s="5">
        <f>IF(A843="","",TEXT(A843,"yyyy-mm-dd"))</f>
        <v/>
      </c>
      <c r="C843" s="5">
        <f>IF(A843="","",TEXT(A843,"ddd"))</f>
        <v/>
      </c>
      <c r="D843" s="5">
        <f>IF(A843="","",TEXT(A843,"yyyy-mm"))</f>
        <v/>
      </c>
      <c r="E843" s="5">
        <f>IF(A843="","",IF(A843&lt;Eingabe!$B$5,"",INT((A843-Eingabe!$B$5)/(Eingabe!$B$6*7))+1))</f>
        <v/>
      </c>
      <c r="F843" s="8">
        <f>IF(A843="","",SUMPRODUCT((Eingabe!$B$16:$B$165&lt;&gt;"")*(Eingabe!$J$16:$J$165)*--(A843&gt;=Eingabe!$G$16:$G$165)*--(A843&lt;=Eingabe!$H$16:$H$165)*--(WEEKDAY(A843,2)&lt;=5)))</f>
        <v/>
      </c>
      <c r="G843" s="8">
        <f>IF(A843="","",SUM($F$2:F843))</f>
        <v/>
      </c>
      <c r="H843" s="8">
        <f>IF(A843="","",Eingabe!$B$7-G843)</f>
        <v/>
      </c>
      <c r="I843" s="8">
        <f>IF(A843="","",Eingabe!$B$8-SUMIFS($F$2:F843,$D$2:D843,D843))</f>
        <v/>
      </c>
      <c r="J843" s="8">
        <f>IF(A843="","",IF(E843="",1E+99,IFERROR(VLOOKUP(E843,Eingabe!$D$5:$E$44,2,FALSE),Eingabe!$B$9)))</f>
        <v/>
      </c>
      <c r="K843" s="8">
        <f>IF(A843="","",IF(E843="",1E+99,J843-SUMIFS($F$2:F843,$E$2:E843,E843)))</f>
        <v/>
      </c>
      <c r="L843" s="5">
        <f>IF(A843="","",IF(OR(H843&lt;0,I843&lt;0,K843&lt;0),"UNMOEGLICH","OK"))</f>
        <v/>
      </c>
    </row>
    <row r="844">
      <c r="A844" s="7">
        <f>IF(ROW()-1&lt;=Eingabe!$B$4-Eingabe!$B$3+1,Eingabe!$B$3+ROW()-2,"")</f>
        <v/>
      </c>
      <c r="B844" s="5">
        <f>IF(A844="","",TEXT(A844,"yyyy-mm-dd"))</f>
        <v/>
      </c>
      <c r="C844" s="5">
        <f>IF(A844="","",TEXT(A844,"ddd"))</f>
        <v/>
      </c>
      <c r="D844" s="5">
        <f>IF(A844="","",TEXT(A844,"yyyy-mm"))</f>
        <v/>
      </c>
      <c r="E844" s="5">
        <f>IF(A844="","",IF(A844&lt;Eingabe!$B$5,"",INT((A844-Eingabe!$B$5)/(Eingabe!$B$6*7))+1))</f>
        <v/>
      </c>
      <c r="F844" s="8">
        <f>IF(A844="","",SUMPRODUCT((Eingabe!$B$16:$B$165&lt;&gt;"")*(Eingabe!$J$16:$J$165)*--(A844&gt;=Eingabe!$G$16:$G$165)*--(A844&lt;=Eingabe!$H$16:$H$165)*--(WEEKDAY(A844,2)&lt;=5)))</f>
        <v/>
      </c>
      <c r="G844" s="8">
        <f>IF(A844="","",SUM($F$2:F844))</f>
        <v/>
      </c>
      <c r="H844" s="8">
        <f>IF(A844="","",Eingabe!$B$7-G844)</f>
        <v/>
      </c>
      <c r="I844" s="8">
        <f>IF(A844="","",Eingabe!$B$8-SUMIFS($F$2:F844,$D$2:D844,D844))</f>
        <v/>
      </c>
      <c r="J844" s="8">
        <f>IF(A844="","",IF(E844="",1E+99,IFERROR(VLOOKUP(E844,Eingabe!$D$5:$E$44,2,FALSE),Eingabe!$B$9)))</f>
        <v/>
      </c>
      <c r="K844" s="8">
        <f>IF(A844="","",IF(E844="",1E+99,J844-SUMIFS($F$2:F844,$E$2:E844,E844)))</f>
        <v/>
      </c>
      <c r="L844" s="5">
        <f>IF(A844="","",IF(OR(H844&lt;0,I844&lt;0,K844&lt;0),"UNMOEGLICH","OK"))</f>
        <v/>
      </c>
    </row>
    <row r="845">
      <c r="A845" s="7">
        <f>IF(ROW()-1&lt;=Eingabe!$B$4-Eingabe!$B$3+1,Eingabe!$B$3+ROW()-2,"")</f>
        <v/>
      </c>
      <c r="B845" s="5">
        <f>IF(A845="","",TEXT(A845,"yyyy-mm-dd"))</f>
        <v/>
      </c>
      <c r="C845" s="5">
        <f>IF(A845="","",TEXT(A845,"ddd"))</f>
        <v/>
      </c>
      <c r="D845" s="5">
        <f>IF(A845="","",TEXT(A845,"yyyy-mm"))</f>
        <v/>
      </c>
      <c r="E845" s="5">
        <f>IF(A845="","",IF(A845&lt;Eingabe!$B$5,"",INT((A845-Eingabe!$B$5)/(Eingabe!$B$6*7))+1))</f>
        <v/>
      </c>
      <c r="F845" s="8">
        <f>IF(A845="","",SUMPRODUCT((Eingabe!$B$16:$B$165&lt;&gt;"")*(Eingabe!$J$16:$J$165)*--(A845&gt;=Eingabe!$G$16:$G$165)*--(A845&lt;=Eingabe!$H$16:$H$165)*--(WEEKDAY(A845,2)&lt;=5)))</f>
        <v/>
      </c>
      <c r="G845" s="8">
        <f>IF(A845="","",SUM($F$2:F845))</f>
        <v/>
      </c>
      <c r="H845" s="8">
        <f>IF(A845="","",Eingabe!$B$7-G845)</f>
        <v/>
      </c>
      <c r="I845" s="8">
        <f>IF(A845="","",Eingabe!$B$8-SUMIFS($F$2:F845,$D$2:D845,D845))</f>
        <v/>
      </c>
      <c r="J845" s="8">
        <f>IF(A845="","",IF(E845="",1E+99,IFERROR(VLOOKUP(E845,Eingabe!$D$5:$E$44,2,FALSE),Eingabe!$B$9)))</f>
        <v/>
      </c>
      <c r="K845" s="8">
        <f>IF(A845="","",IF(E845="",1E+99,J845-SUMIFS($F$2:F845,$E$2:E845,E845)))</f>
        <v/>
      </c>
      <c r="L845" s="5">
        <f>IF(A845="","",IF(OR(H845&lt;0,I845&lt;0,K845&lt;0),"UNMOEGLICH","OK"))</f>
        <v/>
      </c>
    </row>
    <row r="846">
      <c r="A846" s="7">
        <f>IF(ROW()-1&lt;=Eingabe!$B$4-Eingabe!$B$3+1,Eingabe!$B$3+ROW()-2,"")</f>
        <v/>
      </c>
      <c r="B846" s="5">
        <f>IF(A846="","",TEXT(A846,"yyyy-mm-dd"))</f>
        <v/>
      </c>
      <c r="C846" s="5">
        <f>IF(A846="","",TEXT(A846,"ddd"))</f>
        <v/>
      </c>
      <c r="D846" s="5">
        <f>IF(A846="","",TEXT(A846,"yyyy-mm"))</f>
        <v/>
      </c>
      <c r="E846" s="5">
        <f>IF(A846="","",IF(A846&lt;Eingabe!$B$5,"",INT((A846-Eingabe!$B$5)/(Eingabe!$B$6*7))+1))</f>
        <v/>
      </c>
      <c r="F846" s="8">
        <f>IF(A846="","",SUMPRODUCT((Eingabe!$B$16:$B$165&lt;&gt;"")*(Eingabe!$J$16:$J$165)*--(A846&gt;=Eingabe!$G$16:$G$165)*--(A846&lt;=Eingabe!$H$16:$H$165)*--(WEEKDAY(A846,2)&lt;=5)))</f>
        <v/>
      </c>
      <c r="G846" s="8">
        <f>IF(A846="","",SUM($F$2:F846))</f>
        <v/>
      </c>
      <c r="H846" s="8">
        <f>IF(A846="","",Eingabe!$B$7-G846)</f>
        <v/>
      </c>
      <c r="I846" s="8">
        <f>IF(A846="","",Eingabe!$B$8-SUMIFS($F$2:F846,$D$2:D846,D846))</f>
        <v/>
      </c>
      <c r="J846" s="8">
        <f>IF(A846="","",IF(E846="",1E+99,IFERROR(VLOOKUP(E846,Eingabe!$D$5:$E$44,2,FALSE),Eingabe!$B$9)))</f>
        <v/>
      </c>
      <c r="K846" s="8">
        <f>IF(A846="","",IF(E846="",1E+99,J846-SUMIFS($F$2:F846,$E$2:E846,E846)))</f>
        <v/>
      </c>
      <c r="L846" s="5">
        <f>IF(A846="","",IF(OR(H846&lt;0,I846&lt;0,K846&lt;0),"UNMOEGLICH","OK"))</f>
        <v/>
      </c>
    </row>
    <row r="847">
      <c r="A847" s="7">
        <f>IF(ROW()-1&lt;=Eingabe!$B$4-Eingabe!$B$3+1,Eingabe!$B$3+ROW()-2,"")</f>
        <v/>
      </c>
      <c r="B847" s="5">
        <f>IF(A847="","",TEXT(A847,"yyyy-mm-dd"))</f>
        <v/>
      </c>
      <c r="C847" s="5">
        <f>IF(A847="","",TEXT(A847,"ddd"))</f>
        <v/>
      </c>
      <c r="D847" s="5">
        <f>IF(A847="","",TEXT(A847,"yyyy-mm"))</f>
        <v/>
      </c>
      <c r="E847" s="5">
        <f>IF(A847="","",IF(A847&lt;Eingabe!$B$5,"",INT((A847-Eingabe!$B$5)/(Eingabe!$B$6*7))+1))</f>
        <v/>
      </c>
      <c r="F847" s="8">
        <f>IF(A847="","",SUMPRODUCT((Eingabe!$B$16:$B$165&lt;&gt;"")*(Eingabe!$J$16:$J$165)*--(A847&gt;=Eingabe!$G$16:$G$165)*--(A847&lt;=Eingabe!$H$16:$H$165)*--(WEEKDAY(A847,2)&lt;=5)))</f>
        <v/>
      </c>
      <c r="G847" s="8">
        <f>IF(A847="","",SUM($F$2:F847))</f>
        <v/>
      </c>
      <c r="H847" s="8">
        <f>IF(A847="","",Eingabe!$B$7-G847)</f>
        <v/>
      </c>
      <c r="I847" s="8">
        <f>IF(A847="","",Eingabe!$B$8-SUMIFS($F$2:F847,$D$2:D847,D847))</f>
        <v/>
      </c>
      <c r="J847" s="8">
        <f>IF(A847="","",IF(E847="",1E+99,IFERROR(VLOOKUP(E847,Eingabe!$D$5:$E$44,2,FALSE),Eingabe!$B$9)))</f>
        <v/>
      </c>
      <c r="K847" s="8">
        <f>IF(A847="","",IF(E847="",1E+99,J847-SUMIFS($F$2:F847,$E$2:E847,E847)))</f>
        <v/>
      </c>
      <c r="L847" s="5">
        <f>IF(A847="","",IF(OR(H847&lt;0,I847&lt;0,K847&lt;0),"UNMOEGLICH","OK"))</f>
        <v/>
      </c>
    </row>
    <row r="848">
      <c r="A848" s="7">
        <f>IF(ROW()-1&lt;=Eingabe!$B$4-Eingabe!$B$3+1,Eingabe!$B$3+ROW()-2,"")</f>
        <v/>
      </c>
      <c r="B848" s="5">
        <f>IF(A848="","",TEXT(A848,"yyyy-mm-dd"))</f>
        <v/>
      </c>
      <c r="C848" s="5">
        <f>IF(A848="","",TEXT(A848,"ddd"))</f>
        <v/>
      </c>
      <c r="D848" s="5">
        <f>IF(A848="","",TEXT(A848,"yyyy-mm"))</f>
        <v/>
      </c>
      <c r="E848" s="5">
        <f>IF(A848="","",IF(A848&lt;Eingabe!$B$5,"",INT((A848-Eingabe!$B$5)/(Eingabe!$B$6*7))+1))</f>
        <v/>
      </c>
      <c r="F848" s="8">
        <f>IF(A848="","",SUMPRODUCT((Eingabe!$B$16:$B$165&lt;&gt;"")*(Eingabe!$J$16:$J$165)*--(A848&gt;=Eingabe!$G$16:$G$165)*--(A848&lt;=Eingabe!$H$16:$H$165)*--(WEEKDAY(A848,2)&lt;=5)))</f>
        <v/>
      </c>
      <c r="G848" s="8">
        <f>IF(A848="","",SUM($F$2:F848))</f>
        <v/>
      </c>
      <c r="H848" s="8">
        <f>IF(A848="","",Eingabe!$B$7-G848)</f>
        <v/>
      </c>
      <c r="I848" s="8">
        <f>IF(A848="","",Eingabe!$B$8-SUMIFS($F$2:F848,$D$2:D848,D848))</f>
        <v/>
      </c>
      <c r="J848" s="8">
        <f>IF(A848="","",IF(E848="",1E+99,IFERROR(VLOOKUP(E848,Eingabe!$D$5:$E$44,2,FALSE),Eingabe!$B$9)))</f>
        <v/>
      </c>
      <c r="K848" s="8">
        <f>IF(A848="","",IF(E848="",1E+99,J848-SUMIFS($F$2:F848,$E$2:E848,E848)))</f>
        <v/>
      </c>
      <c r="L848" s="5">
        <f>IF(A848="","",IF(OR(H848&lt;0,I848&lt;0,K848&lt;0),"UNMOEGLICH","OK"))</f>
        <v/>
      </c>
    </row>
    <row r="849">
      <c r="A849" s="7">
        <f>IF(ROW()-1&lt;=Eingabe!$B$4-Eingabe!$B$3+1,Eingabe!$B$3+ROW()-2,"")</f>
        <v/>
      </c>
      <c r="B849" s="5">
        <f>IF(A849="","",TEXT(A849,"yyyy-mm-dd"))</f>
        <v/>
      </c>
      <c r="C849" s="5">
        <f>IF(A849="","",TEXT(A849,"ddd"))</f>
        <v/>
      </c>
      <c r="D849" s="5">
        <f>IF(A849="","",TEXT(A849,"yyyy-mm"))</f>
        <v/>
      </c>
      <c r="E849" s="5">
        <f>IF(A849="","",IF(A849&lt;Eingabe!$B$5,"",INT((A849-Eingabe!$B$5)/(Eingabe!$B$6*7))+1))</f>
        <v/>
      </c>
      <c r="F849" s="8">
        <f>IF(A849="","",SUMPRODUCT((Eingabe!$B$16:$B$165&lt;&gt;"")*(Eingabe!$J$16:$J$165)*--(A849&gt;=Eingabe!$G$16:$G$165)*--(A849&lt;=Eingabe!$H$16:$H$165)*--(WEEKDAY(A849,2)&lt;=5)))</f>
        <v/>
      </c>
      <c r="G849" s="8">
        <f>IF(A849="","",SUM($F$2:F849))</f>
        <v/>
      </c>
      <c r="H849" s="8">
        <f>IF(A849="","",Eingabe!$B$7-G849)</f>
        <v/>
      </c>
      <c r="I849" s="8">
        <f>IF(A849="","",Eingabe!$B$8-SUMIFS($F$2:F849,$D$2:D849,D849))</f>
        <v/>
      </c>
      <c r="J849" s="8">
        <f>IF(A849="","",IF(E849="",1E+99,IFERROR(VLOOKUP(E849,Eingabe!$D$5:$E$44,2,FALSE),Eingabe!$B$9)))</f>
        <v/>
      </c>
      <c r="K849" s="8">
        <f>IF(A849="","",IF(E849="",1E+99,J849-SUMIFS($F$2:F849,$E$2:E849,E849)))</f>
        <v/>
      </c>
      <c r="L849" s="5">
        <f>IF(A849="","",IF(OR(H849&lt;0,I849&lt;0,K849&lt;0),"UNMOEGLICH","OK"))</f>
        <v/>
      </c>
    </row>
    <row r="850">
      <c r="A850" s="7">
        <f>IF(ROW()-1&lt;=Eingabe!$B$4-Eingabe!$B$3+1,Eingabe!$B$3+ROW()-2,"")</f>
        <v/>
      </c>
      <c r="B850" s="5">
        <f>IF(A850="","",TEXT(A850,"yyyy-mm-dd"))</f>
        <v/>
      </c>
      <c r="C850" s="5">
        <f>IF(A850="","",TEXT(A850,"ddd"))</f>
        <v/>
      </c>
      <c r="D850" s="5">
        <f>IF(A850="","",TEXT(A850,"yyyy-mm"))</f>
        <v/>
      </c>
      <c r="E850" s="5">
        <f>IF(A850="","",IF(A850&lt;Eingabe!$B$5,"",INT((A850-Eingabe!$B$5)/(Eingabe!$B$6*7))+1))</f>
        <v/>
      </c>
      <c r="F850" s="8">
        <f>IF(A850="","",SUMPRODUCT((Eingabe!$B$16:$B$165&lt;&gt;"")*(Eingabe!$J$16:$J$165)*--(A850&gt;=Eingabe!$G$16:$G$165)*--(A850&lt;=Eingabe!$H$16:$H$165)*--(WEEKDAY(A850,2)&lt;=5)))</f>
        <v/>
      </c>
      <c r="G850" s="8">
        <f>IF(A850="","",SUM($F$2:F850))</f>
        <v/>
      </c>
      <c r="H850" s="8">
        <f>IF(A850="","",Eingabe!$B$7-G850)</f>
        <v/>
      </c>
      <c r="I850" s="8">
        <f>IF(A850="","",Eingabe!$B$8-SUMIFS($F$2:F850,$D$2:D850,D850))</f>
        <v/>
      </c>
      <c r="J850" s="8">
        <f>IF(A850="","",IF(E850="",1E+99,IFERROR(VLOOKUP(E850,Eingabe!$D$5:$E$44,2,FALSE),Eingabe!$B$9)))</f>
        <v/>
      </c>
      <c r="K850" s="8">
        <f>IF(A850="","",IF(E850="",1E+99,J850-SUMIFS($F$2:F850,$E$2:E850,E850)))</f>
        <v/>
      </c>
      <c r="L850" s="5">
        <f>IF(A850="","",IF(OR(H850&lt;0,I850&lt;0,K850&lt;0),"UNMOEGLICH","OK"))</f>
        <v/>
      </c>
    </row>
    <row r="851">
      <c r="A851" s="7">
        <f>IF(ROW()-1&lt;=Eingabe!$B$4-Eingabe!$B$3+1,Eingabe!$B$3+ROW()-2,"")</f>
        <v/>
      </c>
      <c r="B851" s="5">
        <f>IF(A851="","",TEXT(A851,"yyyy-mm-dd"))</f>
        <v/>
      </c>
      <c r="C851" s="5">
        <f>IF(A851="","",TEXT(A851,"ddd"))</f>
        <v/>
      </c>
      <c r="D851" s="5">
        <f>IF(A851="","",TEXT(A851,"yyyy-mm"))</f>
        <v/>
      </c>
      <c r="E851" s="5">
        <f>IF(A851="","",IF(A851&lt;Eingabe!$B$5,"",INT((A851-Eingabe!$B$5)/(Eingabe!$B$6*7))+1))</f>
        <v/>
      </c>
      <c r="F851" s="8">
        <f>IF(A851="","",SUMPRODUCT((Eingabe!$B$16:$B$165&lt;&gt;"")*(Eingabe!$J$16:$J$165)*--(A851&gt;=Eingabe!$G$16:$G$165)*--(A851&lt;=Eingabe!$H$16:$H$165)*--(WEEKDAY(A851,2)&lt;=5)))</f>
        <v/>
      </c>
      <c r="G851" s="8">
        <f>IF(A851="","",SUM($F$2:F851))</f>
        <v/>
      </c>
      <c r="H851" s="8">
        <f>IF(A851="","",Eingabe!$B$7-G851)</f>
        <v/>
      </c>
      <c r="I851" s="8">
        <f>IF(A851="","",Eingabe!$B$8-SUMIFS($F$2:F851,$D$2:D851,D851))</f>
        <v/>
      </c>
      <c r="J851" s="8">
        <f>IF(A851="","",IF(E851="",1E+99,IFERROR(VLOOKUP(E851,Eingabe!$D$5:$E$44,2,FALSE),Eingabe!$B$9)))</f>
        <v/>
      </c>
      <c r="K851" s="8">
        <f>IF(A851="","",IF(E851="",1E+99,J851-SUMIFS($F$2:F851,$E$2:E851,E851)))</f>
        <v/>
      </c>
      <c r="L851" s="5">
        <f>IF(A851="","",IF(OR(H851&lt;0,I851&lt;0,K851&lt;0),"UNMOEGLICH","OK"))</f>
        <v/>
      </c>
    </row>
    <row r="852">
      <c r="A852" s="7">
        <f>IF(ROW()-1&lt;=Eingabe!$B$4-Eingabe!$B$3+1,Eingabe!$B$3+ROW()-2,"")</f>
        <v/>
      </c>
      <c r="B852" s="5">
        <f>IF(A852="","",TEXT(A852,"yyyy-mm-dd"))</f>
        <v/>
      </c>
      <c r="C852" s="5">
        <f>IF(A852="","",TEXT(A852,"ddd"))</f>
        <v/>
      </c>
      <c r="D852" s="5">
        <f>IF(A852="","",TEXT(A852,"yyyy-mm"))</f>
        <v/>
      </c>
      <c r="E852" s="5">
        <f>IF(A852="","",IF(A852&lt;Eingabe!$B$5,"",INT((A852-Eingabe!$B$5)/(Eingabe!$B$6*7))+1))</f>
        <v/>
      </c>
      <c r="F852" s="8">
        <f>IF(A852="","",SUMPRODUCT((Eingabe!$B$16:$B$165&lt;&gt;"")*(Eingabe!$J$16:$J$165)*--(A852&gt;=Eingabe!$G$16:$G$165)*--(A852&lt;=Eingabe!$H$16:$H$165)*--(WEEKDAY(A852,2)&lt;=5)))</f>
        <v/>
      </c>
      <c r="G852" s="8">
        <f>IF(A852="","",SUM($F$2:F852))</f>
        <v/>
      </c>
      <c r="H852" s="8">
        <f>IF(A852="","",Eingabe!$B$7-G852)</f>
        <v/>
      </c>
      <c r="I852" s="8">
        <f>IF(A852="","",Eingabe!$B$8-SUMIFS($F$2:F852,$D$2:D852,D852))</f>
        <v/>
      </c>
      <c r="J852" s="8">
        <f>IF(A852="","",IF(E852="",1E+99,IFERROR(VLOOKUP(E852,Eingabe!$D$5:$E$44,2,FALSE),Eingabe!$B$9)))</f>
        <v/>
      </c>
      <c r="K852" s="8">
        <f>IF(A852="","",IF(E852="",1E+99,J852-SUMIFS($F$2:F852,$E$2:E852,E852)))</f>
        <v/>
      </c>
      <c r="L852" s="5">
        <f>IF(A852="","",IF(OR(H852&lt;0,I852&lt;0,K852&lt;0),"UNMOEGLICH","OK"))</f>
        <v/>
      </c>
    </row>
    <row r="853">
      <c r="A853" s="7">
        <f>IF(ROW()-1&lt;=Eingabe!$B$4-Eingabe!$B$3+1,Eingabe!$B$3+ROW()-2,"")</f>
        <v/>
      </c>
      <c r="B853" s="5">
        <f>IF(A853="","",TEXT(A853,"yyyy-mm-dd"))</f>
        <v/>
      </c>
      <c r="C853" s="5">
        <f>IF(A853="","",TEXT(A853,"ddd"))</f>
        <v/>
      </c>
      <c r="D853" s="5">
        <f>IF(A853="","",TEXT(A853,"yyyy-mm"))</f>
        <v/>
      </c>
      <c r="E853" s="5">
        <f>IF(A853="","",IF(A853&lt;Eingabe!$B$5,"",INT((A853-Eingabe!$B$5)/(Eingabe!$B$6*7))+1))</f>
        <v/>
      </c>
      <c r="F853" s="8">
        <f>IF(A853="","",SUMPRODUCT((Eingabe!$B$16:$B$165&lt;&gt;"")*(Eingabe!$J$16:$J$165)*--(A853&gt;=Eingabe!$G$16:$G$165)*--(A853&lt;=Eingabe!$H$16:$H$165)*--(WEEKDAY(A853,2)&lt;=5)))</f>
        <v/>
      </c>
      <c r="G853" s="8">
        <f>IF(A853="","",SUM($F$2:F853))</f>
        <v/>
      </c>
      <c r="H853" s="8">
        <f>IF(A853="","",Eingabe!$B$7-G853)</f>
        <v/>
      </c>
      <c r="I853" s="8">
        <f>IF(A853="","",Eingabe!$B$8-SUMIFS($F$2:F853,$D$2:D853,D853))</f>
        <v/>
      </c>
      <c r="J853" s="8">
        <f>IF(A853="","",IF(E853="",1E+99,IFERROR(VLOOKUP(E853,Eingabe!$D$5:$E$44,2,FALSE),Eingabe!$B$9)))</f>
        <v/>
      </c>
      <c r="K853" s="8">
        <f>IF(A853="","",IF(E853="",1E+99,J853-SUMIFS($F$2:F853,$E$2:E853,E853)))</f>
        <v/>
      </c>
      <c r="L853" s="5">
        <f>IF(A853="","",IF(OR(H853&lt;0,I853&lt;0,K853&lt;0),"UNMOEGLICH","OK"))</f>
        <v/>
      </c>
    </row>
    <row r="854">
      <c r="A854" s="7">
        <f>IF(ROW()-1&lt;=Eingabe!$B$4-Eingabe!$B$3+1,Eingabe!$B$3+ROW()-2,"")</f>
        <v/>
      </c>
      <c r="B854" s="5">
        <f>IF(A854="","",TEXT(A854,"yyyy-mm-dd"))</f>
        <v/>
      </c>
      <c r="C854" s="5">
        <f>IF(A854="","",TEXT(A854,"ddd"))</f>
        <v/>
      </c>
      <c r="D854" s="5">
        <f>IF(A854="","",TEXT(A854,"yyyy-mm"))</f>
        <v/>
      </c>
      <c r="E854" s="5">
        <f>IF(A854="","",IF(A854&lt;Eingabe!$B$5,"",INT((A854-Eingabe!$B$5)/(Eingabe!$B$6*7))+1))</f>
        <v/>
      </c>
      <c r="F854" s="8">
        <f>IF(A854="","",SUMPRODUCT((Eingabe!$B$16:$B$165&lt;&gt;"")*(Eingabe!$J$16:$J$165)*--(A854&gt;=Eingabe!$G$16:$G$165)*--(A854&lt;=Eingabe!$H$16:$H$165)*--(WEEKDAY(A854,2)&lt;=5)))</f>
        <v/>
      </c>
      <c r="G854" s="8">
        <f>IF(A854="","",SUM($F$2:F854))</f>
        <v/>
      </c>
      <c r="H854" s="8">
        <f>IF(A854="","",Eingabe!$B$7-G854)</f>
        <v/>
      </c>
      <c r="I854" s="8">
        <f>IF(A854="","",Eingabe!$B$8-SUMIFS($F$2:F854,$D$2:D854,D854))</f>
        <v/>
      </c>
      <c r="J854" s="8">
        <f>IF(A854="","",IF(E854="",1E+99,IFERROR(VLOOKUP(E854,Eingabe!$D$5:$E$44,2,FALSE),Eingabe!$B$9)))</f>
        <v/>
      </c>
      <c r="K854" s="8">
        <f>IF(A854="","",IF(E854="",1E+99,J854-SUMIFS($F$2:F854,$E$2:E854,E854)))</f>
        <v/>
      </c>
      <c r="L854" s="5">
        <f>IF(A854="","",IF(OR(H854&lt;0,I854&lt;0,K854&lt;0),"UNMOEGLICH","OK"))</f>
        <v/>
      </c>
    </row>
    <row r="855">
      <c r="A855" s="7">
        <f>IF(ROW()-1&lt;=Eingabe!$B$4-Eingabe!$B$3+1,Eingabe!$B$3+ROW()-2,"")</f>
        <v/>
      </c>
      <c r="B855" s="5">
        <f>IF(A855="","",TEXT(A855,"yyyy-mm-dd"))</f>
        <v/>
      </c>
      <c r="C855" s="5">
        <f>IF(A855="","",TEXT(A855,"ddd"))</f>
        <v/>
      </c>
      <c r="D855" s="5">
        <f>IF(A855="","",TEXT(A855,"yyyy-mm"))</f>
        <v/>
      </c>
      <c r="E855" s="5">
        <f>IF(A855="","",IF(A855&lt;Eingabe!$B$5,"",INT((A855-Eingabe!$B$5)/(Eingabe!$B$6*7))+1))</f>
        <v/>
      </c>
      <c r="F855" s="8">
        <f>IF(A855="","",SUMPRODUCT((Eingabe!$B$16:$B$165&lt;&gt;"")*(Eingabe!$J$16:$J$165)*--(A855&gt;=Eingabe!$G$16:$G$165)*--(A855&lt;=Eingabe!$H$16:$H$165)*--(WEEKDAY(A855,2)&lt;=5)))</f>
        <v/>
      </c>
      <c r="G855" s="8">
        <f>IF(A855="","",SUM($F$2:F855))</f>
        <v/>
      </c>
      <c r="H855" s="8">
        <f>IF(A855="","",Eingabe!$B$7-G855)</f>
        <v/>
      </c>
      <c r="I855" s="8">
        <f>IF(A855="","",Eingabe!$B$8-SUMIFS($F$2:F855,$D$2:D855,D855))</f>
        <v/>
      </c>
      <c r="J855" s="8">
        <f>IF(A855="","",IF(E855="",1E+99,IFERROR(VLOOKUP(E855,Eingabe!$D$5:$E$44,2,FALSE),Eingabe!$B$9)))</f>
        <v/>
      </c>
      <c r="K855" s="8">
        <f>IF(A855="","",IF(E855="",1E+99,J855-SUMIFS($F$2:F855,$E$2:E855,E855)))</f>
        <v/>
      </c>
      <c r="L855" s="5">
        <f>IF(A855="","",IF(OR(H855&lt;0,I855&lt;0,K855&lt;0),"UNMOEGLICH","OK"))</f>
        <v/>
      </c>
    </row>
    <row r="856">
      <c r="A856" s="7">
        <f>IF(ROW()-1&lt;=Eingabe!$B$4-Eingabe!$B$3+1,Eingabe!$B$3+ROW()-2,"")</f>
        <v/>
      </c>
      <c r="B856" s="5">
        <f>IF(A856="","",TEXT(A856,"yyyy-mm-dd"))</f>
        <v/>
      </c>
      <c r="C856" s="5">
        <f>IF(A856="","",TEXT(A856,"ddd"))</f>
        <v/>
      </c>
      <c r="D856" s="5">
        <f>IF(A856="","",TEXT(A856,"yyyy-mm"))</f>
        <v/>
      </c>
      <c r="E856" s="5">
        <f>IF(A856="","",IF(A856&lt;Eingabe!$B$5,"",INT((A856-Eingabe!$B$5)/(Eingabe!$B$6*7))+1))</f>
        <v/>
      </c>
      <c r="F856" s="8">
        <f>IF(A856="","",SUMPRODUCT((Eingabe!$B$16:$B$165&lt;&gt;"")*(Eingabe!$J$16:$J$165)*--(A856&gt;=Eingabe!$G$16:$G$165)*--(A856&lt;=Eingabe!$H$16:$H$165)*--(WEEKDAY(A856,2)&lt;=5)))</f>
        <v/>
      </c>
      <c r="G856" s="8">
        <f>IF(A856="","",SUM($F$2:F856))</f>
        <v/>
      </c>
      <c r="H856" s="8">
        <f>IF(A856="","",Eingabe!$B$7-G856)</f>
        <v/>
      </c>
      <c r="I856" s="8">
        <f>IF(A856="","",Eingabe!$B$8-SUMIFS($F$2:F856,$D$2:D856,D856))</f>
        <v/>
      </c>
      <c r="J856" s="8">
        <f>IF(A856="","",IF(E856="",1E+99,IFERROR(VLOOKUP(E856,Eingabe!$D$5:$E$44,2,FALSE),Eingabe!$B$9)))</f>
        <v/>
      </c>
      <c r="K856" s="8">
        <f>IF(A856="","",IF(E856="",1E+99,J856-SUMIFS($F$2:F856,$E$2:E856,E856)))</f>
        <v/>
      </c>
      <c r="L856" s="5">
        <f>IF(A856="","",IF(OR(H856&lt;0,I856&lt;0,K856&lt;0),"UNMOEGLICH","OK"))</f>
        <v/>
      </c>
    </row>
    <row r="857">
      <c r="A857" s="7">
        <f>IF(ROW()-1&lt;=Eingabe!$B$4-Eingabe!$B$3+1,Eingabe!$B$3+ROW()-2,"")</f>
        <v/>
      </c>
      <c r="B857" s="5">
        <f>IF(A857="","",TEXT(A857,"yyyy-mm-dd"))</f>
        <v/>
      </c>
      <c r="C857" s="5">
        <f>IF(A857="","",TEXT(A857,"ddd"))</f>
        <v/>
      </c>
      <c r="D857" s="5">
        <f>IF(A857="","",TEXT(A857,"yyyy-mm"))</f>
        <v/>
      </c>
      <c r="E857" s="5">
        <f>IF(A857="","",IF(A857&lt;Eingabe!$B$5,"",INT((A857-Eingabe!$B$5)/(Eingabe!$B$6*7))+1))</f>
        <v/>
      </c>
      <c r="F857" s="8">
        <f>IF(A857="","",SUMPRODUCT((Eingabe!$B$16:$B$165&lt;&gt;"")*(Eingabe!$J$16:$J$165)*--(A857&gt;=Eingabe!$G$16:$G$165)*--(A857&lt;=Eingabe!$H$16:$H$165)*--(WEEKDAY(A857,2)&lt;=5)))</f>
        <v/>
      </c>
      <c r="G857" s="8">
        <f>IF(A857="","",SUM($F$2:F857))</f>
        <v/>
      </c>
      <c r="H857" s="8">
        <f>IF(A857="","",Eingabe!$B$7-G857)</f>
        <v/>
      </c>
      <c r="I857" s="8">
        <f>IF(A857="","",Eingabe!$B$8-SUMIFS($F$2:F857,$D$2:D857,D857))</f>
        <v/>
      </c>
      <c r="J857" s="8">
        <f>IF(A857="","",IF(E857="",1E+99,IFERROR(VLOOKUP(E857,Eingabe!$D$5:$E$44,2,FALSE),Eingabe!$B$9)))</f>
        <v/>
      </c>
      <c r="K857" s="8">
        <f>IF(A857="","",IF(E857="",1E+99,J857-SUMIFS($F$2:F857,$E$2:E857,E857)))</f>
        <v/>
      </c>
      <c r="L857" s="5">
        <f>IF(A857="","",IF(OR(H857&lt;0,I857&lt;0,K857&lt;0),"UNMOEGLICH","OK"))</f>
        <v/>
      </c>
    </row>
    <row r="858">
      <c r="A858" s="7">
        <f>IF(ROW()-1&lt;=Eingabe!$B$4-Eingabe!$B$3+1,Eingabe!$B$3+ROW()-2,"")</f>
        <v/>
      </c>
      <c r="B858" s="5">
        <f>IF(A858="","",TEXT(A858,"yyyy-mm-dd"))</f>
        <v/>
      </c>
      <c r="C858" s="5">
        <f>IF(A858="","",TEXT(A858,"ddd"))</f>
        <v/>
      </c>
      <c r="D858" s="5">
        <f>IF(A858="","",TEXT(A858,"yyyy-mm"))</f>
        <v/>
      </c>
      <c r="E858" s="5">
        <f>IF(A858="","",IF(A858&lt;Eingabe!$B$5,"",INT((A858-Eingabe!$B$5)/(Eingabe!$B$6*7))+1))</f>
        <v/>
      </c>
      <c r="F858" s="8">
        <f>IF(A858="","",SUMPRODUCT((Eingabe!$B$16:$B$165&lt;&gt;"")*(Eingabe!$J$16:$J$165)*--(A858&gt;=Eingabe!$G$16:$G$165)*--(A858&lt;=Eingabe!$H$16:$H$165)*--(WEEKDAY(A858,2)&lt;=5)))</f>
        <v/>
      </c>
      <c r="G858" s="8">
        <f>IF(A858="","",SUM($F$2:F858))</f>
        <v/>
      </c>
      <c r="H858" s="8">
        <f>IF(A858="","",Eingabe!$B$7-G858)</f>
        <v/>
      </c>
      <c r="I858" s="8">
        <f>IF(A858="","",Eingabe!$B$8-SUMIFS($F$2:F858,$D$2:D858,D858))</f>
        <v/>
      </c>
      <c r="J858" s="8">
        <f>IF(A858="","",IF(E858="",1E+99,IFERROR(VLOOKUP(E858,Eingabe!$D$5:$E$44,2,FALSE),Eingabe!$B$9)))</f>
        <v/>
      </c>
      <c r="K858" s="8">
        <f>IF(A858="","",IF(E858="",1E+99,J858-SUMIFS($F$2:F858,$E$2:E858,E858)))</f>
        <v/>
      </c>
      <c r="L858" s="5">
        <f>IF(A858="","",IF(OR(H858&lt;0,I858&lt;0,K858&lt;0),"UNMOEGLICH","OK"))</f>
        <v/>
      </c>
    </row>
    <row r="859">
      <c r="A859" s="7">
        <f>IF(ROW()-1&lt;=Eingabe!$B$4-Eingabe!$B$3+1,Eingabe!$B$3+ROW()-2,"")</f>
        <v/>
      </c>
      <c r="B859" s="5">
        <f>IF(A859="","",TEXT(A859,"yyyy-mm-dd"))</f>
        <v/>
      </c>
      <c r="C859" s="5">
        <f>IF(A859="","",TEXT(A859,"ddd"))</f>
        <v/>
      </c>
      <c r="D859" s="5">
        <f>IF(A859="","",TEXT(A859,"yyyy-mm"))</f>
        <v/>
      </c>
      <c r="E859" s="5">
        <f>IF(A859="","",IF(A859&lt;Eingabe!$B$5,"",INT((A859-Eingabe!$B$5)/(Eingabe!$B$6*7))+1))</f>
        <v/>
      </c>
      <c r="F859" s="8">
        <f>IF(A859="","",SUMPRODUCT((Eingabe!$B$16:$B$165&lt;&gt;"")*(Eingabe!$J$16:$J$165)*--(A859&gt;=Eingabe!$G$16:$G$165)*--(A859&lt;=Eingabe!$H$16:$H$165)*--(WEEKDAY(A859,2)&lt;=5)))</f>
        <v/>
      </c>
      <c r="G859" s="8">
        <f>IF(A859="","",SUM($F$2:F859))</f>
        <v/>
      </c>
      <c r="H859" s="8">
        <f>IF(A859="","",Eingabe!$B$7-G859)</f>
        <v/>
      </c>
      <c r="I859" s="8">
        <f>IF(A859="","",Eingabe!$B$8-SUMIFS($F$2:F859,$D$2:D859,D859))</f>
        <v/>
      </c>
      <c r="J859" s="8">
        <f>IF(A859="","",IF(E859="",1E+99,IFERROR(VLOOKUP(E859,Eingabe!$D$5:$E$44,2,FALSE),Eingabe!$B$9)))</f>
        <v/>
      </c>
      <c r="K859" s="8">
        <f>IF(A859="","",IF(E859="",1E+99,J859-SUMIFS($F$2:F859,$E$2:E859,E859)))</f>
        <v/>
      </c>
      <c r="L859" s="5">
        <f>IF(A859="","",IF(OR(H859&lt;0,I859&lt;0,K859&lt;0),"UNMOEGLICH","OK"))</f>
        <v/>
      </c>
    </row>
    <row r="860">
      <c r="A860" s="7">
        <f>IF(ROW()-1&lt;=Eingabe!$B$4-Eingabe!$B$3+1,Eingabe!$B$3+ROW()-2,"")</f>
        <v/>
      </c>
      <c r="B860" s="5">
        <f>IF(A860="","",TEXT(A860,"yyyy-mm-dd"))</f>
        <v/>
      </c>
      <c r="C860" s="5">
        <f>IF(A860="","",TEXT(A860,"ddd"))</f>
        <v/>
      </c>
      <c r="D860" s="5">
        <f>IF(A860="","",TEXT(A860,"yyyy-mm"))</f>
        <v/>
      </c>
      <c r="E860" s="5">
        <f>IF(A860="","",IF(A860&lt;Eingabe!$B$5,"",INT((A860-Eingabe!$B$5)/(Eingabe!$B$6*7))+1))</f>
        <v/>
      </c>
      <c r="F860" s="8">
        <f>IF(A860="","",SUMPRODUCT((Eingabe!$B$16:$B$165&lt;&gt;"")*(Eingabe!$J$16:$J$165)*--(A860&gt;=Eingabe!$G$16:$G$165)*--(A860&lt;=Eingabe!$H$16:$H$165)*--(WEEKDAY(A860,2)&lt;=5)))</f>
        <v/>
      </c>
      <c r="G860" s="8">
        <f>IF(A860="","",SUM($F$2:F860))</f>
        <v/>
      </c>
      <c r="H860" s="8">
        <f>IF(A860="","",Eingabe!$B$7-G860)</f>
        <v/>
      </c>
      <c r="I860" s="8">
        <f>IF(A860="","",Eingabe!$B$8-SUMIFS($F$2:F860,$D$2:D860,D860))</f>
        <v/>
      </c>
      <c r="J860" s="8">
        <f>IF(A860="","",IF(E860="",1E+99,IFERROR(VLOOKUP(E860,Eingabe!$D$5:$E$44,2,FALSE),Eingabe!$B$9)))</f>
        <v/>
      </c>
      <c r="K860" s="8">
        <f>IF(A860="","",IF(E860="",1E+99,J860-SUMIFS($F$2:F860,$E$2:E860,E860)))</f>
        <v/>
      </c>
      <c r="L860" s="5">
        <f>IF(A860="","",IF(OR(H860&lt;0,I860&lt;0,K860&lt;0),"UNMOEGLICH","OK"))</f>
        <v/>
      </c>
    </row>
    <row r="861">
      <c r="A861" s="7">
        <f>IF(ROW()-1&lt;=Eingabe!$B$4-Eingabe!$B$3+1,Eingabe!$B$3+ROW()-2,"")</f>
        <v/>
      </c>
      <c r="B861" s="5">
        <f>IF(A861="","",TEXT(A861,"yyyy-mm-dd"))</f>
        <v/>
      </c>
      <c r="C861" s="5">
        <f>IF(A861="","",TEXT(A861,"ddd"))</f>
        <v/>
      </c>
      <c r="D861" s="5">
        <f>IF(A861="","",TEXT(A861,"yyyy-mm"))</f>
        <v/>
      </c>
      <c r="E861" s="5">
        <f>IF(A861="","",IF(A861&lt;Eingabe!$B$5,"",INT((A861-Eingabe!$B$5)/(Eingabe!$B$6*7))+1))</f>
        <v/>
      </c>
      <c r="F861" s="8">
        <f>IF(A861="","",SUMPRODUCT((Eingabe!$B$16:$B$165&lt;&gt;"")*(Eingabe!$J$16:$J$165)*--(A861&gt;=Eingabe!$G$16:$G$165)*--(A861&lt;=Eingabe!$H$16:$H$165)*--(WEEKDAY(A861,2)&lt;=5)))</f>
        <v/>
      </c>
      <c r="G861" s="8">
        <f>IF(A861="","",SUM($F$2:F861))</f>
        <v/>
      </c>
      <c r="H861" s="8">
        <f>IF(A861="","",Eingabe!$B$7-G861)</f>
        <v/>
      </c>
      <c r="I861" s="8">
        <f>IF(A861="","",Eingabe!$B$8-SUMIFS($F$2:F861,$D$2:D861,D861))</f>
        <v/>
      </c>
      <c r="J861" s="8">
        <f>IF(A861="","",IF(E861="",1E+99,IFERROR(VLOOKUP(E861,Eingabe!$D$5:$E$44,2,FALSE),Eingabe!$B$9)))</f>
        <v/>
      </c>
      <c r="K861" s="8">
        <f>IF(A861="","",IF(E861="",1E+99,J861-SUMIFS($F$2:F861,$E$2:E861,E861)))</f>
        <v/>
      </c>
      <c r="L861" s="5">
        <f>IF(A861="","",IF(OR(H861&lt;0,I861&lt;0,K861&lt;0),"UNMOEGLICH","OK"))</f>
        <v/>
      </c>
    </row>
    <row r="862">
      <c r="A862" s="7">
        <f>IF(ROW()-1&lt;=Eingabe!$B$4-Eingabe!$B$3+1,Eingabe!$B$3+ROW()-2,"")</f>
        <v/>
      </c>
      <c r="B862" s="5">
        <f>IF(A862="","",TEXT(A862,"yyyy-mm-dd"))</f>
        <v/>
      </c>
      <c r="C862" s="5">
        <f>IF(A862="","",TEXT(A862,"ddd"))</f>
        <v/>
      </c>
      <c r="D862" s="5">
        <f>IF(A862="","",TEXT(A862,"yyyy-mm"))</f>
        <v/>
      </c>
      <c r="E862" s="5">
        <f>IF(A862="","",IF(A862&lt;Eingabe!$B$5,"",INT((A862-Eingabe!$B$5)/(Eingabe!$B$6*7))+1))</f>
        <v/>
      </c>
      <c r="F862" s="8">
        <f>IF(A862="","",SUMPRODUCT((Eingabe!$B$16:$B$165&lt;&gt;"")*(Eingabe!$J$16:$J$165)*--(A862&gt;=Eingabe!$G$16:$G$165)*--(A862&lt;=Eingabe!$H$16:$H$165)*--(WEEKDAY(A862,2)&lt;=5)))</f>
        <v/>
      </c>
      <c r="G862" s="8">
        <f>IF(A862="","",SUM($F$2:F862))</f>
        <v/>
      </c>
      <c r="H862" s="8">
        <f>IF(A862="","",Eingabe!$B$7-G862)</f>
        <v/>
      </c>
      <c r="I862" s="8">
        <f>IF(A862="","",Eingabe!$B$8-SUMIFS($F$2:F862,$D$2:D862,D862))</f>
        <v/>
      </c>
      <c r="J862" s="8">
        <f>IF(A862="","",IF(E862="",1E+99,IFERROR(VLOOKUP(E862,Eingabe!$D$5:$E$44,2,FALSE),Eingabe!$B$9)))</f>
        <v/>
      </c>
      <c r="K862" s="8">
        <f>IF(A862="","",IF(E862="",1E+99,J862-SUMIFS($F$2:F862,$E$2:E862,E862)))</f>
        <v/>
      </c>
      <c r="L862" s="5">
        <f>IF(A862="","",IF(OR(H862&lt;0,I862&lt;0,K862&lt;0),"UNMOEGLICH","OK"))</f>
        <v/>
      </c>
    </row>
    <row r="863">
      <c r="A863" s="7">
        <f>IF(ROW()-1&lt;=Eingabe!$B$4-Eingabe!$B$3+1,Eingabe!$B$3+ROW()-2,"")</f>
        <v/>
      </c>
      <c r="B863" s="5">
        <f>IF(A863="","",TEXT(A863,"yyyy-mm-dd"))</f>
        <v/>
      </c>
      <c r="C863" s="5">
        <f>IF(A863="","",TEXT(A863,"ddd"))</f>
        <v/>
      </c>
      <c r="D863" s="5">
        <f>IF(A863="","",TEXT(A863,"yyyy-mm"))</f>
        <v/>
      </c>
      <c r="E863" s="5">
        <f>IF(A863="","",IF(A863&lt;Eingabe!$B$5,"",INT((A863-Eingabe!$B$5)/(Eingabe!$B$6*7))+1))</f>
        <v/>
      </c>
      <c r="F863" s="8">
        <f>IF(A863="","",SUMPRODUCT((Eingabe!$B$16:$B$165&lt;&gt;"")*(Eingabe!$J$16:$J$165)*--(A863&gt;=Eingabe!$G$16:$G$165)*--(A863&lt;=Eingabe!$H$16:$H$165)*--(WEEKDAY(A863,2)&lt;=5)))</f>
        <v/>
      </c>
      <c r="G863" s="8">
        <f>IF(A863="","",SUM($F$2:F863))</f>
        <v/>
      </c>
      <c r="H863" s="8">
        <f>IF(A863="","",Eingabe!$B$7-G863)</f>
        <v/>
      </c>
      <c r="I863" s="8">
        <f>IF(A863="","",Eingabe!$B$8-SUMIFS($F$2:F863,$D$2:D863,D863))</f>
        <v/>
      </c>
      <c r="J863" s="8">
        <f>IF(A863="","",IF(E863="",1E+99,IFERROR(VLOOKUP(E863,Eingabe!$D$5:$E$44,2,FALSE),Eingabe!$B$9)))</f>
        <v/>
      </c>
      <c r="K863" s="8">
        <f>IF(A863="","",IF(E863="",1E+99,J863-SUMIFS($F$2:F863,$E$2:E863,E863)))</f>
        <v/>
      </c>
      <c r="L863" s="5">
        <f>IF(A863="","",IF(OR(H863&lt;0,I863&lt;0,K863&lt;0),"UNMOEGLICH","OK"))</f>
        <v/>
      </c>
    </row>
    <row r="864">
      <c r="A864" s="7">
        <f>IF(ROW()-1&lt;=Eingabe!$B$4-Eingabe!$B$3+1,Eingabe!$B$3+ROW()-2,"")</f>
        <v/>
      </c>
      <c r="B864" s="5">
        <f>IF(A864="","",TEXT(A864,"yyyy-mm-dd"))</f>
        <v/>
      </c>
      <c r="C864" s="5">
        <f>IF(A864="","",TEXT(A864,"ddd"))</f>
        <v/>
      </c>
      <c r="D864" s="5">
        <f>IF(A864="","",TEXT(A864,"yyyy-mm"))</f>
        <v/>
      </c>
      <c r="E864" s="5">
        <f>IF(A864="","",IF(A864&lt;Eingabe!$B$5,"",INT((A864-Eingabe!$B$5)/(Eingabe!$B$6*7))+1))</f>
        <v/>
      </c>
      <c r="F864" s="8">
        <f>IF(A864="","",SUMPRODUCT((Eingabe!$B$16:$B$165&lt;&gt;"")*(Eingabe!$J$16:$J$165)*--(A864&gt;=Eingabe!$G$16:$G$165)*--(A864&lt;=Eingabe!$H$16:$H$165)*--(WEEKDAY(A864,2)&lt;=5)))</f>
        <v/>
      </c>
      <c r="G864" s="8">
        <f>IF(A864="","",SUM($F$2:F864))</f>
        <v/>
      </c>
      <c r="H864" s="8">
        <f>IF(A864="","",Eingabe!$B$7-G864)</f>
        <v/>
      </c>
      <c r="I864" s="8">
        <f>IF(A864="","",Eingabe!$B$8-SUMIFS($F$2:F864,$D$2:D864,D864))</f>
        <v/>
      </c>
      <c r="J864" s="8">
        <f>IF(A864="","",IF(E864="",1E+99,IFERROR(VLOOKUP(E864,Eingabe!$D$5:$E$44,2,FALSE),Eingabe!$B$9)))</f>
        <v/>
      </c>
      <c r="K864" s="8">
        <f>IF(A864="","",IF(E864="",1E+99,J864-SUMIFS($F$2:F864,$E$2:E864,E864)))</f>
        <v/>
      </c>
      <c r="L864" s="5">
        <f>IF(A864="","",IF(OR(H864&lt;0,I864&lt;0,K864&lt;0),"UNMOEGLICH","OK"))</f>
        <v/>
      </c>
    </row>
    <row r="865">
      <c r="A865" s="7">
        <f>IF(ROW()-1&lt;=Eingabe!$B$4-Eingabe!$B$3+1,Eingabe!$B$3+ROW()-2,"")</f>
        <v/>
      </c>
      <c r="B865" s="5">
        <f>IF(A865="","",TEXT(A865,"yyyy-mm-dd"))</f>
        <v/>
      </c>
      <c r="C865" s="5">
        <f>IF(A865="","",TEXT(A865,"ddd"))</f>
        <v/>
      </c>
      <c r="D865" s="5">
        <f>IF(A865="","",TEXT(A865,"yyyy-mm"))</f>
        <v/>
      </c>
      <c r="E865" s="5">
        <f>IF(A865="","",IF(A865&lt;Eingabe!$B$5,"",INT((A865-Eingabe!$B$5)/(Eingabe!$B$6*7))+1))</f>
        <v/>
      </c>
      <c r="F865" s="8">
        <f>IF(A865="","",SUMPRODUCT((Eingabe!$B$16:$B$165&lt;&gt;"")*(Eingabe!$J$16:$J$165)*--(A865&gt;=Eingabe!$G$16:$G$165)*--(A865&lt;=Eingabe!$H$16:$H$165)*--(WEEKDAY(A865,2)&lt;=5)))</f>
        <v/>
      </c>
      <c r="G865" s="8">
        <f>IF(A865="","",SUM($F$2:F865))</f>
        <v/>
      </c>
      <c r="H865" s="8">
        <f>IF(A865="","",Eingabe!$B$7-G865)</f>
        <v/>
      </c>
      <c r="I865" s="8">
        <f>IF(A865="","",Eingabe!$B$8-SUMIFS($F$2:F865,$D$2:D865,D865))</f>
        <v/>
      </c>
      <c r="J865" s="8">
        <f>IF(A865="","",IF(E865="",1E+99,IFERROR(VLOOKUP(E865,Eingabe!$D$5:$E$44,2,FALSE),Eingabe!$B$9)))</f>
        <v/>
      </c>
      <c r="K865" s="8">
        <f>IF(A865="","",IF(E865="",1E+99,J865-SUMIFS($F$2:F865,$E$2:E865,E865)))</f>
        <v/>
      </c>
      <c r="L865" s="5">
        <f>IF(A865="","",IF(OR(H865&lt;0,I865&lt;0,K865&lt;0),"UNMOEGLICH","OK"))</f>
        <v/>
      </c>
    </row>
    <row r="866">
      <c r="A866" s="7">
        <f>IF(ROW()-1&lt;=Eingabe!$B$4-Eingabe!$B$3+1,Eingabe!$B$3+ROW()-2,"")</f>
        <v/>
      </c>
      <c r="B866" s="5">
        <f>IF(A866="","",TEXT(A866,"yyyy-mm-dd"))</f>
        <v/>
      </c>
      <c r="C866" s="5">
        <f>IF(A866="","",TEXT(A866,"ddd"))</f>
        <v/>
      </c>
      <c r="D866" s="5">
        <f>IF(A866="","",TEXT(A866,"yyyy-mm"))</f>
        <v/>
      </c>
      <c r="E866" s="5">
        <f>IF(A866="","",IF(A866&lt;Eingabe!$B$5,"",INT((A866-Eingabe!$B$5)/(Eingabe!$B$6*7))+1))</f>
        <v/>
      </c>
      <c r="F866" s="8">
        <f>IF(A866="","",SUMPRODUCT((Eingabe!$B$16:$B$165&lt;&gt;"")*(Eingabe!$J$16:$J$165)*--(A866&gt;=Eingabe!$G$16:$G$165)*--(A866&lt;=Eingabe!$H$16:$H$165)*--(WEEKDAY(A866,2)&lt;=5)))</f>
        <v/>
      </c>
      <c r="G866" s="8">
        <f>IF(A866="","",SUM($F$2:F866))</f>
        <v/>
      </c>
      <c r="H866" s="8">
        <f>IF(A866="","",Eingabe!$B$7-G866)</f>
        <v/>
      </c>
      <c r="I866" s="8">
        <f>IF(A866="","",Eingabe!$B$8-SUMIFS($F$2:F866,$D$2:D866,D866))</f>
        <v/>
      </c>
      <c r="J866" s="8">
        <f>IF(A866="","",IF(E866="",1E+99,IFERROR(VLOOKUP(E866,Eingabe!$D$5:$E$44,2,FALSE),Eingabe!$B$9)))</f>
        <v/>
      </c>
      <c r="K866" s="8">
        <f>IF(A866="","",IF(E866="",1E+99,J866-SUMIFS($F$2:F866,$E$2:E866,E866)))</f>
        <v/>
      </c>
      <c r="L866" s="5">
        <f>IF(A866="","",IF(OR(H866&lt;0,I866&lt;0,K866&lt;0),"UNMOEGLICH","OK"))</f>
        <v/>
      </c>
    </row>
    <row r="867">
      <c r="A867" s="7">
        <f>IF(ROW()-1&lt;=Eingabe!$B$4-Eingabe!$B$3+1,Eingabe!$B$3+ROW()-2,"")</f>
        <v/>
      </c>
      <c r="B867" s="5">
        <f>IF(A867="","",TEXT(A867,"yyyy-mm-dd"))</f>
        <v/>
      </c>
      <c r="C867" s="5">
        <f>IF(A867="","",TEXT(A867,"ddd"))</f>
        <v/>
      </c>
      <c r="D867" s="5">
        <f>IF(A867="","",TEXT(A867,"yyyy-mm"))</f>
        <v/>
      </c>
      <c r="E867" s="5">
        <f>IF(A867="","",IF(A867&lt;Eingabe!$B$5,"",INT((A867-Eingabe!$B$5)/(Eingabe!$B$6*7))+1))</f>
        <v/>
      </c>
      <c r="F867" s="8">
        <f>IF(A867="","",SUMPRODUCT((Eingabe!$B$16:$B$165&lt;&gt;"")*(Eingabe!$J$16:$J$165)*--(A867&gt;=Eingabe!$G$16:$G$165)*--(A867&lt;=Eingabe!$H$16:$H$165)*--(WEEKDAY(A867,2)&lt;=5)))</f>
        <v/>
      </c>
      <c r="G867" s="8">
        <f>IF(A867="","",SUM($F$2:F867))</f>
        <v/>
      </c>
      <c r="H867" s="8">
        <f>IF(A867="","",Eingabe!$B$7-G867)</f>
        <v/>
      </c>
      <c r="I867" s="8">
        <f>IF(A867="","",Eingabe!$B$8-SUMIFS($F$2:F867,$D$2:D867,D867))</f>
        <v/>
      </c>
      <c r="J867" s="8">
        <f>IF(A867="","",IF(E867="",1E+99,IFERROR(VLOOKUP(E867,Eingabe!$D$5:$E$44,2,FALSE),Eingabe!$B$9)))</f>
        <v/>
      </c>
      <c r="K867" s="8">
        <f>IF(A867="","",IF(E867="",1E+99,J867-SUMIFS($F$2:F867,$E$2:E867,E867)))</f>
        <v/>
      </c>
      <c r="L867" s="5">
        <f>IF(A867="","",IF(OR(H867&lt;0,I867&lt;0,K867&lt;0),"UNMOEGLICH","OK"))</f>
        <v/>
      </c>
    </row>
    <row r="868">
      <c r="A868" s="7">
        <f>IF(ROW()-1&lt;=Eingabe!$B$4-Eingabe!$B$3+1,Eingabe!$B$3+ROW()-2,"")</f>
        <v/>
      </c>
      <c r="B868" s="5">
        <f>IF(A868="","",TEXT(A868,"yyyy-mm-dd"))</f>
        <v/>
      </c>
      <c r="C868" s="5">
        <f>IF(A868="","",TEXT(A868,"ddd"))</f>
        <v/>
      </c>
      <c r="D868" s="5">
        <f>IF(A868="","",TEXT(A868,"yyyy-mm"))</f>
        <v/>
      </c>
      <c r="E868" s="5">
        <f>IF(A868="","",IF(A868&lt;Eingabe!$B$5,"",INT((A868-Eingabe!$B$5)/(Eingabe!$B$6*7))+1))</f>
        <v/>
      </c>
      <c r="F868" s="8">
        <f>IF(A868="","",SUMPRODUCT((Eingabe!$B$16:$B$165&lt;&gt;"")*(Eingabe!$J$16:$J$165)*--(A868&gt;=Eingabe!$G$16:$G$165)*--(A868&lt;=Eingabe!$H$16:$H$165)*--(WEEKDAY(A868,2)&lt;=5)))</f>
        <v/>
      </c>
      <c r="G868" s="8">
        <f>IF(A868="","",SUM($F$2:F868))</f>
        <v/>
      </c>
      <c r="H868" s="8">
        <f>IF(A868="","",Eingabe!$B$7-G868)</f>
        <v/>
      </c>
      <c r="I868" s="8">
        <f>IF(A868="","",Eingabe!$B$8-SUMIFS($F$2:F868,$D$2:D868,D868))</f>
        <v/>
      </c>
      <c r="J868" s="8">
        <f>IF(A868="","",IF(E868="",1E+99,IFERROR(VLOOKUP(E868,Eingabe!$D$5:$E$44,2,FALSE),Eingabe!$B$9)))</f>
        <v/>
      </c>
      <c r="K868" s="8">
        <f>IF(A868="","",IF(E868="",1E+99,J868-SUMIFS($F$2:F868,$E$2:E868,E868)))</f>
        <v/>
      </c>
      <c r="L868" s="5">
        <f>IF(A868="","",IF(OR(H868&lt;0,I868&lt;0,K868&lt;0),"UNMOEGLICH","OK"))</f>
        <v/>
      </c>
    </row>
    <row r="869">
      <c r="A869" s="7">
        <f>IF(ROW()-1&lt;=Eingabe!$B$4-Eingabe!$B$3+1,Eingabe!$B$3+ROW()-2,"")</f>
        <v/>
      </c>
      <c r="B869" s="5">
        <f>IF(A869="","",TEXT(A869,"yyyy-mm-dd"))</f>
        <v/>
      </c>
      <c r="C869" s="5">
        <f>IF(A869="","",TEXT(A869,"ddd"))</f>
        <v/>
      </c>
      <c r="D869" s="5">
        <f>IF(A869="","",TEXT(A869,"yyyy-mm"))</f>
        <v/>
      </c>
      <c r="E869" s="5">
        <f>IF(A869="","",IF(A869&lt;Eingabe!$B$5,"",INT((A869-Eingabe!$B$5)/(Eingabe!$B$6*7))+1))</f>
        <v/>
      </c>
      <c r="F869" s="8">
        <f>IF(A869="","",SUMPRODUCT((Eingabe!$B$16:$B$165&lt;&gt;"")*(Eingabe!$J$16:$J$165)*--(A869&gt;=Eingabe!$G$16:$G$165)*--(A869&lt;=Eingabe!$H$16:$H$165)*--(WEEKDAY(A869,2)&lt;=5)))</f>
        <v/>
      </c>
      <c r="G869" s="8">
        <f>IF(A869="","",SUM($F$2:F869))</f>
        <v/>
      </c>
      <c r="H869" s="8">
        <f>IF(A869="","",Eingabe!$B$7-G869)</f>
        <v/>
      </c>
      <c r="I869" s="8">
        <f>IF(A869="","",Eingabe!$B$8-SUMIFS($F$2:F869,$D$2:D869,D869))</f>
        <v/>
      </c>
      <c r="J869" s="8">
        <f>IF(A869="","",IF(E869="",1E+99,IFERROR(VLOOKUP(E869,Eingabe!$D$5:$E$44,2,FALSE),Eingabe!$B$9)))</f>
        <v/>
      </c>
      <c r="K869" s="8">
        <f>IF(A869="","",IF(E869="",1E+99,J869-SUMIFS($F$2:F869,$E$2:E869,E869)))</f>
        <v/>
      </c>
      <c r="L869" s="5">
        <f>IF(A869="","",IF(OR(H869&lt;0,I869&lt;0,K869&lt;0),"UNMOEGLICH","OK"))</f>
        <v/>
      </c>
    </row>
    <row r="870">
      <c r="A870" s="7">
        <f>IF(ROW()-1&lt;=Eingabe!$B$4-Eingabe!$B$3+1,Eingabe!$B$3+ROW()-2,"")</f>
        <v/>
      </c>
      <c r="B870" s="5">
        <f>IF(A870="","",TEXT(A870,"yyyy-mm-dd"))</f>
        <v/>
      </c>
      <c r="C870" s="5">
        <f>IF(A870="","",TEXT(A870,"ddd"))</f>
        <v/>
      </c>
      <c r="D870" s="5">
        <f>IF(A870="","",TEXT(A870,"yyyy-mm"))</f>
        <v/>
      </c>
      <c r="E870" s="5">
        <f>IF(A870="","",IF(A870&lt;Eingabe!$B$5,"",INT((A870-Eingabe!$B$5)/(Eingabe!$B$6*7))+1))</f>
        <v/>
      </c>
      <c r="F870" s="8">
        <f>IF(A870="","",SUMPRODUCT((Eingabe!$B$16:$B$165&lt;&gt;"")*(Eingabe!$J$16:$J$165)*--(A870&gt;=Eingabe!$G$16:$G$165)*--(A870&lt;=Eingabe!$H$16:$H$165)*--(WEEKDAY(A870,2)&lt;=5)))</f>
        <v/>
      </c>
      <c r="G870" s="8">
        <f>IF(A870="","",SUM($F$2:F870))</f>
        <v/>
      </c>
      <c r="H870" s="8">
        <f>IF(A870="","",Eingabe!$B$7-G870)</f>
        <v/>
      </c>
      <c r="I870" s="8">
        <f>IF(A870="","",Eingabe!$B$8-SUMIFS($F$2:F870,$D$2:D870,D870))</f>
        <v/>
      </c>
      <c r="J870" s="8">
        <f>IF(A870="","",IF(E870="",1E+99,IFERROR(VLOOKUP(E870,Eingabe!$D$5:$E$44,2,FALSE),Eingabe!$B$9)))</f>
        <v/>
      </c>
      <c r="K870" s="8">
        <f>IF(A870="","",IF(E870="",1E+99,J870-SUMIFS($F$2:F870,$E$2:E870,E870)))</f>
        <v/>
      </c>
      <c r="L870" s="5">
        <f>IF(A870="","",IF(OR(H870&lt;0,I870&lt;0,K870&lt;0),"UNMOEGLICH","OK"))</f>
        <v/>
      </c>
    </row>
    <row r="871">
      <c r="A871" s="7">
        <f>IF(ROW()-1&lt;=Eingabe!$B$4-Eingabe!$B$3+1,Eingabe!$B$3+ROW()-2,"")</f>
        <v/>
      </c>
      <c r="B871" s="5">
        <f>IF(A871="","",TEXT(A871,"yyyy-mm-dd"))</f>
        <v/>
      </c>
      <c r="C871" s="5">
        <f>IF(A871="","",TEXT(A871,"ddd"))</f>
        <v/>
      </c>
      <c r="D871" s="5">
        <f>IF(A871="","",TEXT(A871,"yyyy-mm"))</f>
        <v/>
      </c>
      <c r="E871" s="5">
        <f>IF(A871="","",IF(A871&lt;Eingabe!$B$5,"",INT((A871-Eingabe!$B$5)/(Eingabe!$B$6*7))+1))</f>
        <v/>
      </c>
      <c r="F871" s="8">
        <f>IF(A871="","",SUMPRODUCT((Eingabe!$B$16:$B$165&lt;&gt;"")*(Eingabe!$J$16:$J$165)*--(A871&gt;=Eingabe!$G$16:$G$165)*--(A871&lt;=Eingabe!$H$16:$H$165)*--(WEEKDAY(A871,2)&lt;=5)))</f>
        <v/>
      </c>
      <c r="G871" s="8">
        <f>IF(A871="","",SUM($F$2:F871))</f>
        <v/>
      </c>
      <c r="H871" s="8">
        <f>IF(A871="","",Eingabe!$B$7-G871)</f>
        <v/>
      </c>
      <c r="I871" s="8">
        <f>IF(A871="","",Eingabe!$B$8-SUMIFS($F$2:F871,$D$2:D871,D871))</f>
        <v/>
      </c>
      <c r="J871" s="8">
        <f>IF(A871="","",IF(E871="",1E+99,IFERROR(VLOOKUP(E871,Eingabe!$D$5:$E$44,2,FALSE),Eingabe!$B$9)))</f>
        <v/>
      </c>
      <c r="K871" s="8">
        <f>IF(A871="","",IF(E871="",1E+99,J871-SUMIFS($F$2:F871,$E$2:E871,E871)))</f>
        <v/>
      </c>
      <c r="L871" s="5">
        <f>IF(A871="","",IF(OR(H871&lt;0,I871&lt;0,K871&lt;0),"UNMOEGLICH","OK"))</f>
        <v/>
      </c>
    </row>
    <row r="872">
      <c r="A872" s="7">
        <f>IF(ROW()-1&lt;=Eingabe!$B$4-Eingabe!$B$3+1,Eingabe!$B$3+ROW()-2,"")</f>
        <v/>
      </c>
      <c r="B872" s="5">
        <f>IF(A872="","",TEXT(A872,"yyyy-mm-dd"))</f>
        <v/>
      </c>
      <c r="C872" s="5">
        <f>IF(A872="","",TEXT(A872,"ddd"))</f>
        <v/>
      </c>
      <c r="D872" s="5">
        <f>IF(A872="","",TEXT(A872,"yyyy-mm"))</f>
        <v/>
      </c>
      <c r="E872" s="5">
        <f>IF(A872="","",IF(A872&lt;Eingabe!$B$5,"",INT((A872-Eingabe!$B$5)/(Eingabe!$B$6*7))+1))</f>
        <v/>
      </c>
      <c r="F872" s="8">
        <f>IF(A872="","",SUMPRODUCT((Eingabe!$B$16:$B$165&lt;&gt;"")*(Eingabe!$J$16:$J$165)*--(A872&gt;=Eingabe!$G$16:$G$165)*--(A872&lt;=Eingabe!$H$16:$H$165)*--(WEEKDAY(A872,2)&lt;=5)))</f>
        <v/>
      </c>
      <c r="G872" s="8">
        <f>IF(A872="","",SUM($F$2:F872))</f>
        <v/>
      </c>
      <c r="H872" s="8">
        <f>IF(A872="","",Eingabe!$B$7-G872)</f>
        <v/>
      </c>
      <c r="I872" s="8">
        <f>IF(A872="","",Eingabe!$B$8-SUMIFS($F$2:F872,$D$2:D872,D872))</f>
        <v/>
      </c>
      <c r="J872" s="8">
        <f>IF(A872="","",IF(E872="",1E+99,IFERROR(VLOOKUP(E872,Eingabe!$D$5:$E$44,2,FALSE),Eingabe!$B$9)))</f>
        <v/>
      </c>
      <c r="K872" s="8">
        <f>IF(A872="","",IF(E872="",1E+99,J872-SUMIFS($F$2:F872,$E$2:E872,E872)))</f>
        <v/>
      </c>
      <c r="L872" s="5">
        <f>IF(A872="","",IF(OR(H872&lt;0,I872&lt;0,K872&lt;0),"UNMOEGLICH","OK"))</f>
        <v/>
      </c>
    </row>
    <row r="873">
      <c r="A873" s="7">
        <f>IF(ROW()-1&lt;=Eingabe!$B$4-Eingabe!$B$3+1,Eingabe!$B$3+ROW()-2,"")</f>
        <v/>
      </c>
      <c r="B873" s="5">
        <f>IF(A873="","",TEXT(A873,"yyyy-mm-dd"))</f>
        <v/>
      </c>
      <c r="C873" s="5">
        <f>IF(A873="","",TEXT(A873,"ddd"))</f>
        <v/>
      </c>
      <c r="D873" s="5">
        <f>IF(A873="","",TEXT(A873,"yyyy-mm"))</f>
        <v/>
      </c>
      <c r="E873" s="5">
        <f>IF(A873="","",IF(A873&lt;Eingabe!$B$5,"",INT((A873-Eingabe!$B$5)/(Eingabe!$B$6*7))+1))</f>
        <v/>
      </c>
      <c r="F873" s="8">
        <f>IF(A873="","",SUMPRODUCT((Eingabe!$B$16:$B$165&lt;&gt;"")*(Eingabe!$J$16:$J$165)*--(A873&gt;=Eingabe!$G$16:$G$165)*--(A873&lt;=Eingabe!$H$16:$H$165)*--(WEEKDAY(A873,2)&lt;=5)))</f>
        <v/>
      </c>
      <c r="G873" s="8">
        <f>IF(A873="","",SUM($F$2:F873))</f>
        <v/>
      </c>
      <c r="H873" s="8">
        <f>IF(A873="","",Eingabe!$B$7-G873)</f>
        <v/>
      </c>
      <c r="I873" s="8">
        <f>IF(A873="","",Eingabe!$B$8-SUMIFS($F$2:F873,$D$2:D873,D873))</f>
        <v/>
      </c>
      <c r="J873" s="8">
        <f>IF(A873="","",IF(E873="",1E+99,IFERROR(VLOOKUP(E873,Eingabe!$D$5:$E$44,2,FALSE),Eingabe!$B$9)))</f>
        <v/>
      </c>
      <c r="K873" s="8">
        <f>IF(A873="","",IF(E873="",1E+99,J873-SUMIFS($F$2:F873,$E$2:E873,E873)))</f>
        <v/>
      </c>
      <c r="L873" s="5">
        <f>IF(A873="","",IF(OR(H873&lt;0,I873&lt;0,K873&lt;0),"UNMOEGLICH","OK"))</f>
        <v/>
      </c>
    </row>
    <row r="874">
      <c r="A874" s="7">
        <f>IF(ROW()-1&lt;=Eingabe!$B$4-Eingabe!$B$3+1,Eingabe!$B$3+ROW()-2,"")</f>
        <v/>
      </c>
      <c r="B874" s="5">
        <f>IF(A874="","",TEXT(A874,"yyyy-mm-dd"))</f>
        <v/>
      </c>
      <c r="C874" s="5">
        <f>IF(A874="","",TEXT(A874,"ddd"))</f>
        <v/>
      </c>
      <c r="D874" s="5">
        <f>IF(A874="","",TEXT(A874,"yyyy-mm"))</f>
        <v/>
      </c>
      <c r="E874" s="5">
        <f>IF(A874="","",IF(A874&lt;Eingabe!$B$5,"",INT((A874-Eingabe!$B$5)/(Eingabe!$B$6*7))+1))</f>
        <v/>
      </c>
      <c r="F874" s="8">
        <f>IF(A874="","",SUMPRODUCT((Eingabe!$B$16:$B$165&lt;&gt;"")*(Eingabe!$J$16:$J$165)*--(A874&gt;=Eingabe!$G$16:$G$165)*--(A874&lt;=Eingabe!$H$16:$H$165)*--(WEEKDAY(A874,2)&lt;=5)))</f>
        <v/>
      </c>
      <c r="G874" s="8">
        <f>IF(A874="","",SUM($F$2:F874))</f>
        <v/>
      </c>
      <c r="H874" s="8">
        <f>IF(A874="","",Eingabe!$B$7-G874)</f>
        <v/>
      </c>
      <c r="I874" s="8">
        <f>IF(A874="","",Eingabe!$B$8-SUMIFS($F$2:F874,$D$2:D874,D874))</f>
        <v/>
      </c>
      <c r="J874" s="8">
        <f>IF(A874="","",IF(E874="",1E+99,IFERROR(VLOOKUP(E874,Eingabe!$D$5:$E$44,2,FALSE),Eingabe!$B$9)))</f>
        <v/>
      </c>
      <c r="K874" s="8">
        <f>IF(A874="","",IF(E874="",1E+99,J874-SUMIFS($F$2:F874,$E$2:E874,E874)))</f>
        <v/>
      </c>
      <c r="L874" s="5">
        <f>IF(A874="","",IF(OR(H874&lt;0,I874&lt;0,K874&lt;0),"UNMOEGLICH","OK"))</f>
        <v/>
      </c>
    </row>
    <row r="875">
      <c r="A875" s="7">
        <f>IF(ROW()-1&lt;=Eingabe!$B$4-Eingabe!$B$3+1,Eingabe!$B$3+ROW()-2,"")</f>
        <v/>
      </c>
      <c r="B875" s="5">
        <f>IF(A875="","",TEXT(A875,"yyyy-mm-dd"))</f>
        <v/>
      </c>
      <c r="C875" s="5">
        <f>IF(A875="","",TEXT(A875,"ddd"))</f>
        <v/>
      </c>
      <c r="D875" s="5">
        <f>IF(A875="","",TEXT(A875,"yyyy-mm"))</f>
        <v/>
      </c>
      <c r="E875" s="5">
        <f>IF(A875="","",IF(A875&lt;Eingabe!$B$5,"",INT((A875-Eingabe!$B$5)/(Eingabe!$B$6*7))+1))</f>
        <v/>
      </c>
      <c r="F875" s="8">
        <f>IF(A875="","",SUMPRODUCT((Eingabe!$B$16:$B$165&lt;&gt;"")*(Eingabe!$J$16:$J$165)*--(A875&gt;=Eingabe!$G$16:$G$165)*--(A875&lt;=Eingabe!$H$16:$H$165)*--(WEEKDAY(A875,2)&lt;=5)))</f>
        <v/>
      </c>
      <c r="G875" s="8">
        <f>IF(A875="","",SUM($F$2:F875))</f>
        <v/>
      </c>
      <c r="H875" s="8">
        <f>IF(A875="","",Eingabe!$B$7-G875)</f>
        <v/>
      </c>
      <c r="I875" s="8">
        <f>IF(A875="","",Eingabe!$B$8-SUMIFS($F$2:F875,$D$2:D875,D875))</f>
        <v/>
      </c>
      <c r="J875" s="8">
        <f>IF(A875="","",IF(E875="",1E+99,IFERROR(VLOOKUP(E875,Eingabe!$D$5:$E$44,2,FALSE),Eingabe!$B$9)))</f>
        <v/>
      </c>
      <c r="K875" s="8">
        <f>IF(A875="","",IF(E875="",1E+99,J875-SUMIFS($F$2:F875,$E$2:E875,E875)))</f>
        <v/>
      </c>
      <c r="L875" s="5">
        <f>IF(A875="","",IF(OR(H875&lt;0,I875&lt;0,K875&lt;0),"UNMOEGLICH","OK"))</f>
        <v/>
      </c>
    </row>
    <row r="876">
      <c r="A876" s="7">
        <f>IF(ROW()-1&lt;=Eingabe!$B$4-Eingabe!$B$3+1,Eingabe!$B$3+ROW()-2,"")</f>
        <v/>
      </c>
      <c r="B876" s="5">
        <f>IF(A876="","",TEXT(A876,"yyyy-mm-dd"))</f>
        <v/>
      </c>
      <c r="C876" s="5">
        <f>IF(A876="","",TEXT(A876,"ddd"))</f>
        <v/>
      </c>
      <c r="D876" s="5">
        <f>IF(A876="","",TEXT(A876,"yyyy-mm"))</f>
        <v/>
      </c>
      <c r="E876" s="5">
        <f>IF(A876="","",IF(A876&lt;Eingabe!$B$5,"",INT((A876-Eingabe!$B$5)/(Eingabe!$B$6*7))+1))</f>
        <v/>
      </c>
      <c r="F876" s="8">
        <f>IF(A876="","",SUMPRODUCT((Eingabe!$B$16:$B$165&lt;&gt;"")*(Eingabe!$J$16:$J$165)*--(A876&gt;=Eingabe!$G$16:$G$165)*--(A876&lt;=Eingabe!$H$16:$H$165)*--(WEEKDAY(A876,2)&lt;=5)))</f>
        <v/>
      </c>
      <c r="G876" s="8">
        <f>IF(A876="","",SUM($F$2:F876))</f>
        <v/>
      </c>
      <c r="H876" s="8">
        <f>IF(A876="","",Eingabe!$B$7-G876)</f>
        <v/>
      </c>
      <c r="I876" s="8">
        <f>IF(A876="","",Eingabe!$B$8-SUMIFS($F$2:F876,$D$2:D876,D876))</f>
        <v/>
      </c>
      <c r="J876" s="8">
        <f>IF(A876="","",IF(E876="",1E+99,IFERROR(VLOOKUP(E876,Eingabe!$D$5:$E$44,2,FALSE),Eingabe!$B$9)))</f>
        <v/>
      </c>
      <c r="K876" s="8">
        <f>IF(A876="","",IF(E876="",1E+99,J876-SUMIFS($F$2:F876,$E$2:E876,E876)))</f>
        <v/>
      </c>
      <c r="L876" s="5">
        <f>IF(A876="","",IF(OR(H876&lt;0,I876&lt;0,K876&lt;0),"UNMOEGLICH","OK"))</f>
        <v/>
      </c>
    </row>
    <row r="877">
      <c r="A877" s="7">
        <f>IF(ROW()-1&lt;=Eingabe!$B$4-Eingabe!$B$3+1,Eingabe!$B$3+ROW()-2,"")</f>
        <v/>
      </c>
      <c r="B877" s="5">
        <f>IF(A877="","",TEXT(A877,"yyyy-mm-dd"))</f>
        <v/>
      </c>
      <c r="C877" s="5">
        <f>IF(A877="","",TEXT(A877,"ddd"))</f>
        <v/>
      </c>
      <c r="D877" s="5">
        <f>IF(A877="","",TEXT(A877,"yyyy-mm"))</f>
        <v/>
      </c>
      <c r="E877" s="5">
        <f>IF(A877="","",IF(A877&lt;Eingabe!$B$5,"",INT((A877-Eingabe!$B$5)/(Eingabe!$B$6*7))+1))</f>
        <v/>
      </c>
      <c r="F877" s="8">
        <f>IF(A877="","",SUMPRODUCT((Eingabe!$B$16:$B$165&lt;&gt;"")*(Eingabe!$J$16:$J$165)*--(A877&gt;=Eingabe!$G$16:$G$165)*--(A877&lt;=Eingabe!$H$16:$H$165)*--(WEEKDAY(A877,2)&lt;=5)))</f>
        <v/>
      </c>
      <c r="G877" s="8">
        <f>IF(A877="","",SUM($F$2:F877))</f>
        <v/>
      </c>
      <c r="H877" s="8">
        <f>IF(A877="","",Eingabe!$B$7-G877)</f>
        <v/>
      </c>
      <c r="I877" s="8">
        <f>IF(A877="","",Eingabe!$B$8-SUMIFS($F$2:F877,$D$2:D877,D877))</f>
        <v/>
      </c>
      <c r="J877" s="8">
        <f>IF(A877="","",IF(E877="",1E+99,IFERROR(VLOOKUP(E877,Eingabe!$D$5:$E$44,2,FALSE),Eingabe!$B$9)))</f>
        <v/>
      </c>
      <c r="K877" s="8">
        <f>IF(A877="","",IF(E877="",1E+99,J877-SUMIFS($F$2:F877,$E$2:E877,E877)))</f>
        <v/>
      </c>
      <c r="L877" s="5">
        <f>IF(A877="","",IF(OR(H877&lt;0,I877&lt;0,K877&lt;0),"UNMOEGLICH","OK"))</f>
        <v/>
      </c>
    </row>
    <row r="878">
      <c r="A878" s="7">
        <f>IF(ROW()-1&lt;=Eingabe!$B$4-Eingabe!$B$3+1,Eingabe!$B$3+ROW()-2,"")</f>
        <v/>
      </c>
      <c r="B878" s="5">
        <f>IF(A878="","",TEXT(A878,"yyyy-mm-dd"))</f>
        <v/>
      </c>
      <c r="C878" s="5">
        <f>IF(A878="","",TEXT(A878,"ddd"))</f>
        <v/>
      </c>
      <c r="D878" s="5">
        <f>IF(A878="","",TEXT(A878,"yyyy-mm"))</f>
        <v/>
      </c>
      <c r="E878" s="5">
        <f>IF(A878="","",IF(A878&lt;Eingabe!$B$5,"",INT((A878-Eingabe!$B$5)/(Eingabe!$B$6*7))+1))</f>
        <v/>
      </c>
      <c r="F878" s="8">
        <f>IF(A878="","",SUMPRODUCT((Eingabe!$B$16:$B$165&lt;&gt;"")*(Eingabe!$J$16:$J$165)*--(A878&gt;=Eingabe!$G$16:$G$165)*--(A878&lt;=Eingabe!$H$16:$H$165)*--(WEEKDAY(A878,2)&lt;=5)))</f>
        <v/>
      </c>
      <c r="G878" s="8">
        <f>IF(A878="","",SUM($F$2:F878))</f>
        <v/>
      </c>
      <c r="H878" s="8">
        <f>IF(A878="","",Eingabe!$B$7-G878)</f>
        <v/>
      </c>
      <c r="I878" s="8">
        <f>IF(A878="","",Eingabe!$B$8-SUMIFS($F$2:F878,$D$2:D878,D878))</f>
        <v/>
      </c>
      <c r="J878" s="8">
        <f>IF(A878="","",IF(E878="",1E+99,IFERROR(VLOOKUP(E878,Eingabe!$D$5:$E$44,2,FALSE),Eingabe!$B$9)))</f>
        <v/>
      </c>
      <c r="K878" s="8">
        <f>IF(A878="","",IF(E878="",1E+99,J878-SUMIFS($F$2:F878,$E$2:E878,E878)))</f>
        <v/>
      </c>
      <c r="L878" s="5">
        <f>IF(A878="","",IF(OR(H878&lt;0,I878&lt;0,K878&lt;0),"UNMOEGLICH","OK"))</f>
        <v/>
      </c>
    </row>
    <row r="879">
      <c r="A879" s="7">
        <f>IF(ROW()-1&lt;=Eingabe!$B$4-Eingabe!$B$3+1,Eingabe!$B$3+ROW()-2,"")</f>
        <v/>
      </c>
      <c r="B879" s="5">
        <f>IF(A879="","",TEXT(A879,"yyyy-mm-dd"))</f>
        <v/>
      </c>
      <c r="C879" s="5">
        <f>IF(A879="","",TEXT(A879,"ddd"))</f>
        <v/>
      </c>
      <c r="D879" s="5">
        <f>IF(A879="","",TEXT(A879,"yyyy-mm"))</f>
        <v/>
      </c>
      <c r="E879" s="5">
        <f>IF(A879="","",IF(A879&lt;Eingabe!$B$5,"",INT((A879-Eingabe!$B$5)/(Eingabe!$B$6*7))+1))</f>
        <v/>
      </c>
      <c r="F879" s="8">
        <f>IF(A879="","",SUMPRODUCT((Eingabe!$B$16:$B$165&lt;&gt;"")*(Eingabe!$J$16:$J$165)*--(A879&gt;=Eingabe!$G$16:$G$165)*--(A879&lt;=Eingabe!$H$16:$H$165)*--(WEEKDAY(A879,2)&lt;=5)))</f>
        <v/>
      </c>
      <c r="G879" s="8">
        <f>IF(A879="","",SUM($F$2:F879))</f>
        <v/>
      </c>
      <c r="H879" s="8">
        <f>IF(A879="","",Eingabe!$B$7-G879)</f>
        <v/>
      </c>
      <c r="I879" s="8">
        <f>IF(A879="","",Eingabe!$B$8-SUMIFS($F$2:F879,$D$2:D879,D879))</f>
        <v/>
      </c>
      <c r="J879" s="8">
        <f>IF(A879="","",IF(E879="",1E+99,IFERROR(VLOOKUP(E879,Eingabe!$D$5:$E$44,2,FALSE),Eingabe!$B$9)))</f>
        <v/>
      </c>
      <c r="K879" s="8">
        <f>IF(A879="","",IF(E879="",1E+99,J879-SUMIFS($F$2:F879,$E$2:E879,E879)))</f>
        <v/>
      </c>
      <c r="L879" s="5">
        <f>IF(A879="","",IF(OR(H879&lt;0,I879&lt;0,K879&lt;0),"UNMOEGLICH","OK"))</f>
        <v/>
      </c>
    </row>
    <row r="880">
      <c r="A880" s="7">
        <f>IF(ROW()-1&lt;=Eingabe!$B$4-Eingabe!$B$3+1,Eingabe!$B$3+ROW()-2,"")</f>
        <v/>
      </c>
      <c r="B880" s="5">
        <f>IF(A880="","",TEXT(A880,"yyyy-mm-dd"))</f>
        <v/>
      </c>
      <c r="C880" s="5">
        <f>IF(A880="","",TEXT(A880,"ddd"))</f>
        <v/>
      </c>
      <c r="D880" s="5">
        <f>IF(A880="","",TEXT(A880,"yyyy-mm"))</f>
        <v/>
      </c>
      <c r="E880" s="5">
        <f>IF(A880="","",IF(A880&lt;Eingabe!$B$5,"",INT((A880-Eingabe!$B$5)/(Eingabe!$B$6*7))+1))</f>
        <v/>
      </c>
      <c r="F880" s="8">
        <f>IF(A880="","",SUMPRODUCT((Eingabe!$B$16:$B$165&lt;&gt;"")*(Eingabe!$J$16:$J$165)*--(A880&gt;=Eingabe!$G$16:$G$165)*--(A880&lt;=Eingabe!$H$16:$H$165)*--(WEEKDAY(A880,2)&lt;=5)))</f>
        <v/>
      </c>
      <c r="G880" s="8">
        <f>IF(A880="","",SUM($F$2:F880))</f>
        <v/>
      </c>
      <c r="H880" s="8">
        <f>IF(A880="","",Eingabe!$B$7-G880)</f>
        <v/>
      </c>
      <c r="I880" s="8">
        <f>IF(A880="","",Eingabe!$B$8-SUMIFS($F$2:F880,$D$2:D880,D880))</f>
        <v/>
      </c>
      <c r="J880" s="8">
        <f>IF(A880="","",IF(E880="",1E+99,IFERROR(VLOOKUP(E880,Eingabe!$D$5:$E$44,2,FALSE),Eingabe!$B$9)))</f>
        <v/>
      </c>
      <c r="K880" s="8">
        <f>IF(A880="","",IF(E880="",1E+99,J880-SUMIFS($F$2:F880,$E$2:E880,E880)))</f>
        <v/>
      </c>
      <c r="L880" s="5">
        <f>IF(A880="","",IF(OR(H880&lt;0,I880&lt;0,K880&lt;0),"UNMOEGLICH","OK"))</f>
        <v/>
      </c>
    </row>
    <row r="881">
      <c r="A881" s="7">
        <f>IF(ROW()-1&lt;=Eingabe!$B$4-Eingabe!$B$3+1,Eingabe!$B$3+ROW()-2,"")</f>
        <v/>
      </c>
      <c r="B881" s="5">
        <f>IF(A881="","",TEXT(A881,"yyyy-mm-dd"))</f>
        <v/>
      </c>
      <c r="C881" s="5">
        <f>IF(A881="","",TEXT(A881,"ddd"))</f>
        <v/>
      </c>
      <c r="D881" s="5">
        <f>IF(A881="","",TEXT(A881,"yyyy-mm"))</f>
        <v/>
      </c>
      <c r="E881" s="5">
        <f>IF(A881="","",IF(A881&lt;Eingabe!$B$5,"",INT((A881-Eingabe!$B$5)/(Eingabe!$B$6*7))+1))</f>
        <v/>
      </c>
      <c r="F881" s="8">
        <f>IF(A881="","",SUMPRODUCT((Eingabe!$B$16:$B$165&lt;&gt;"")*(Eingabe!$J$16:$J$165)*--(A881&gt;=Eingabe!$G$16:$G$165)*--(A881&lt;=Eingabe!$H$16:$H$165)*--(WEEKDAY(A881,2)&lt;=5)))</f>
        <v/>
      </c>
      <c r="G881" s="8">
        <f>IF(A881="","",SUM($F$2:F881))</f>
        <v/>
      </c>
      <c r="H881" s="8">
        <f>IF(A881="","",Eingabe!$B$7-G881)</f>
        <v/>
      </c>
      <c r="I881" s="8">
        <f>IF(A881="","",Eingabe!$B$8-SUMIFS($F$2:F881,$D$2:D881,D881))</f>
        <v/>
      </c>
      <c r="J881" s="8">
        <f>IF(A881="","",IF(E881="",1E+99,IFERROR(VLOOKUP(E881,Eingabe!$D$5:$E$44,2,FALSE),Eingabe!$B$9)))</f>
        <v/>
      </c>
      <c r="K881" s="8">
        <f>IF(A881="","",IF(E881="",1E+99,J881-SUMIFS($F$2:F881,$E$2:E881,E881)))</f>
        <v/>
      </c>
      <c r="L881" s="5">
        <f>IF(A881="","",IF(OR(H881&lt;0,I881&lt;0,K881&lt;0),"UNMOEGLICH","OK"))</f>
        <v/>
      </c>
    </row>
    <row r="882">
      <c r="A882" s="7">
        <f>IF(ROW()-1&lt;=Eingabe!$B$4-Eingabe!$B$3+1,Eingabe!$B$3+ROW()-2,"")</f>
        <v/>
      </c>
      <c r="B882" s="5">
        <f>IF(A882="","",TEXT(A882,"yyyy-mm-dd"))</f>
        <v/>
      </c>
      <c r="C882" s="5">
        <f>IF(A882="","",TEXT(A882,"ddd"))</f>
        <v/>
      </c>
      <c r="D882" s="5">
        <f>IF(A882="","",TEXT(A882,"yyyy-mm"))</f>
        <v/>
      </c>
      <c r="E882" s="5">
        <f>IF(A882="","",IF(A882&lt;Eingabe!$B$5,"",INT((A882-Eingabe!$B$5)/(Eingabe!$B$6*7))+1))</f>
        <v/>
      </c>
      <c r="F882" s="8">
        <f>IF(A882="","",SUMPRODUCT((Eingabe!$B$16:$B$165&lt;&gt;"")*(Eingabe!$J$16:$J$165)*--(A882&gt;=Eingabe!$G$16:$G$165)*--(A882&lt;=Eingabe!$H$16:$H$165)*--(WEEKDAY(A882,2)&lt;=5)))</f>
        <v/>
      </c>
      <c r="G882" s="8">
        <f>IF(A882="","",SUM($F$2:F882))</f>
        <v/>
      </c>
      <c r="H882" s="8">
        <f>IF(A882="","",Eingabe!$B$7-G882)</f>
        <v/>
      </c>
      <c r="I882" s="8">
        <f>IF(A882="","",Eingabe!$B$8-SUMIFS($F$2:F882,$D$2:D882,D882))</f>
        <v/>
      </c>
      <c r="J882" s="8">
        <f>IF(A882="","",IF(E882="",1E+99,IFERROR(VLOOKUP(E882,Eingabe!$D$5:$E$44,2,FALSE),Eingabe!$B$9)))</f>
        <v/>
      </c>
      <c r="K882" s="8">
        <f>IF(A882="","",IF(E882="",1E+99,J882-SUMIFS($F$2:F882,$E$2:E882,E882)))</f>
        <v/>
      </c>
      <c r="L882" s="5">
        <f>IF(A882="","",IF(OR(H882&lt;0,I882&lt;0,K882&lt;0),"UNMOEGLICH","OK"))</f>
        <v/>
      </c>
    </row>
    <row r="883">
      <c r="A883" s="7">
        <f>IF(ROW()-1&lt;=Eingabe!$B$4-Eingabe!$B$3+1,Eingabe!$B$3+ROW()-2,"")</f>
        <v/>
      </c>
      <c r="B883" s="5">
        <f>IF(A883="","",TEXT(A883,"yyyy-mm-dd"))</f>
        <v/>
      </c>
      <c r="C883" s="5">
        <f>IF(A883="","",TEXT(A883,"ddd"))</f>
        <v/>
      </c>
      <c r="D883" s="5">
        <f>IF(A883="","",TEXT(A883,"yyyy-mm"))</f>
        <v/>
      </c>
      <c r="E883" s="5">
        <f>IF(A883="","",IF(A883&lt;Eingabe!$B$5,"",INT((A883-Eingabe!$B$5)/(Eingabe!$B$6*7))+1))</f>
        <v/>
      </c>
      <c r="F883" s="8">
        <f>IF(A883="","",SUMPRODUCT((Eingabe!$B$16:$B$165&lt;&gt;"")*(Eingabe!$J$16:$J$165)*--(A883&gt;=Eingabe!$G$16:$G$165)*--(A883&lt;=Eingabe!$H$16:$H$165)*--(WEEKDAY(A883,2)&lt;=5)))</f>
        <v/>
      </c>
      <c r="G883" s="8">
        <f>IF(A883="","",SUM($F$2:F883))</f>
        <v/>
      </c>
      <c r="H883" s="8">
        <f>IF(A883="","",Eingabe!$B$7-G883)</f>
        <v/>
      </c>
      <c r="I883" s="8">
        <f>IF(A883="","",Eingabe!$B$8-SUMIFS($F$2:F883,$D$2:D883,D883))</f>
        <v/>
      </c>
      <c r="J883" s="8">
        <f>IF(A883="","",IF(E883="",1E+99,IFERROR(VLOOKUP(E883,Eingabe!$D$5:$E$44,2,FALSE),Eingabe!$B$9)))</f>
        <v/>
      </c>
      <c r="K883" s="8">
        <f>IF(A883="","",IF(E883="",1E+99,J883-SUMIFS($F$2:F883,$E$2:E883,E883)))</f>
        <v/>
      </c>
      <c r="L883" s="5">
        <f>IF(A883="","",IF(OR(H883&lt;0,I883&lt;0,K883&lt;0),"UNMOEGLICH","OK"))</f>
        <v/>
      </c>
    </row>
    <row r="884">
      <c r="A884" s="7">
        <f>IF(ROW()-1&lt;=Eingabe!$B$4-Eingabe!$B$3+1,Eingabe!$B$3+ROW()-2,"")</f>
        <v/>
      </c>
      <c r="B884" s="5">
        <f>IF(A884="","",TEXT(A884,"yyyy-mm-dd"))</f>
        <v/>
      </c>
      <c r="C884" s="5">
        <f>IF(A884="","",TEXT(A884,"ddd"))</f>
        <v/>
      </c>
      <c r="D884" s="5">
        <f>IF(A884="","",TEXT(A884,"yyyy-mm"))</f>
        <v/>
      </c>
      <c r="E884" s="5">
        <f>IF(A884="","",IF(A884&lt;Eingabe!$B$5,"",INT((A884-Eingabe!$B$5)/(Eingabe!$B$6*7))+1))</f>
        <v/>
      </c>
      <c r="F884" s="8">
        <f>IF(A884="","",SUMPRODUCT((Eingabe!$B$16:$B$165&lt;&gt;"")*(Eingabe!$J$16:$J$165)*--(A884&gt;=Eingabe!$G$16:$G$165)*--(A884&lt;=Eingabe!$H$16:$H$165)*--(WEEKDAY(A884,2)&lt;=5)))</f>
        <v/>
      </c>
      <c r="G884" s="8">
        <f>IF(A884="","",SUM($F$2:F884))</f>
        <v/>
      </c>
      <c r="H884" s="8">
        <f>IF(A884="","",Eingabe!$B$7-G884)</f>
        <v/>
      </c>
      <c r="I884" s="8">
        <f>IF(A884="","",Eingabe!$B$8-SUMIFS($F$2:F884,$D$2:D884,D884))</f>
        <v/>
      </c>
      <c r="J884" s="8">
        <f>IF(A884="","",IF(E884="",1E+99,IFERROR(VLOOKUP(E884,Eingabe!$D$5:$E$44,2,FALSE),Eingabe!$B$9)))</f>
        <v/>
      </c>
      <c r="K884" s="8">
        <f>IF(A884="","",IF(E884="",1E+99,J884-SUMIFS($F$2:F884,$E$2:E884,E884)))</f>
        <v/>
      </c>
      <c r="L884" s="5">
        <f>IF(A884="","",IF(OR(H884&lt;0,I884&lt;0,K884&lt;0),"UNMOEGLICH","OK"))</f>
        <v/>
      </c>
    </row>
    <row r="885">
      <c r="A885" s="7">
        <f>IF(ROW()-1&lt;=Eingabe!$B$4-Eingabe!$B$3+1,Eingabe!$B$3+ROW()-2,"")</f>
        <v/>
      </c>
      <c r="B885" s="5">
        <f>IF(A885="","",TEXT(A885,"yyyy-mm-dd"))</f>
        <v/>
      </c>
      <c r="C885" s="5">
        <f>IF(A885="","",TEXT(A885,"ddd"))</f>
        <v/>
      </c>
      <c r="D885" s="5">
        <f>IF(A885="","",TEXT(A885,"yyyy-mm"))</f>
        <v/>
      </c>
      <c r="E885" s="5">
        <f>IF(A885="","",IF(A885&lt;Eingabe!$B$5,"",INT((A885-Eingabe!$B$5)/(Eingabe!$B$6*7))+1))</f>
        <v/>
      </c>
      <c r="F885" s="8">
        <f>IF(A885="","",SUMPRODUCT((Eingabe!$B$16:$B$165&lt;&gt;"")*(Eingabe!$J$16:$J$165)*--(A885&gt;=Eingabe!$G$16:$G$165)*--(A885&lt;=Eingabe!$H$16:$H$165)*--(WEEKDAY(A885,2)&lt;=5)))</f>
        <v/>
      </c>
      <c r="G885" s="8">
        <f>IF(A885="","",SUM($F$2:F885))</f>
        <v/>
      </c>
      <c r="H885" s="8">
        <f>IF(A885="","",Eingabe!$B$7-G885)</f>
        <v/>
      </c>
      <c r="I885" s="8">
        <f>IF(A885="","",Eingabe!$B$8-SUMIFS($F$2:F885,$D$2:D885,D885))</f>
        <v/>
      </c>
      <c r="J885" s="8">
        <f>IF(A885="","",IF(E885="",1E+99,IFERROR(VLOOKUP(E885,Eingabe!$D$5:$E$44,2,FALSE),Eingabe!$B$9)))</f>
        <v/>
      </c>
      <c r="K885" s="8">
        <f>IF(A885="","",IF(E885="",1E+99,J885-SUMIFS($F$2:F885,$E$2:E885,E885)))</f>
        <v/>
      </c>
      <c r="L885" s="5">
        <f>IF(A885="","",IF(OR(H885&lt;0,I885&lt;0,K885&lt;0),"UNMOEGLICH","OK"))</f>
        <v/>
      </c>
    </row>
    <row r="886">
      <c r="A886" s="7">
        <f>IF(ROW()-1&lt;=Eingabe!$B$4-Eingabe!$B$3+1,Eingabe!$B$3+ROW()-2,"")</f>
        <v/>
      </c>
      <c r="B886" s="5">
        <f>IF(A886="","",TEXT(A886,"yyyy-mm-dd"))</f>
        <v/>
      </c>
      <c r="C886" s="5">
        <f>IF(A886="","",TEXT(A886,"ddd"))</f>
        <v/>
      </c>
      <c r="D886" s="5">
        <f>IF(A886="","",TEXT(A886,"yyyy-mm"))</f>
        <v/>
      </c>
      <c r="E886" s="5">
        <f>IF(A886="","",IF(A886&lt;Eingabe!$B$5,"",INT((A886-Eingabe!$B$5)/(Eingabe!$B$6*7))+1))</f>
        <v/>
      </c>
      <c r="F886" s="8">
        <f>IF(A886="","",SUMPRODUCT((Eingabe!$B$16:$B$165&lt;&gt;"")*(Eingabe!$J$16:$J$165)*--(A886&gt;=Eingabe!$G$16:$G$165)*--(A886&lt;=Eingabe!$H$16:$H$165)*--(WEEKDAY(A886,2)&lt;=5)))</f>
        <v/>
      </c>
      <c r="G886" s="8">
        <f>IF(A886="","",SUM($F$2:F886))</f>
        <v/>
      </c>
      <c r="H886" s="8">
        <f>IF(A886="","",Eingabe!$B$7-G886)</f>
        <v/>
      </c>
      <c r="I886" s="8">
        <f>IF(A886="","",Eingabe!$B$8-SUMIFS($F$2:F886,$D$2:D886,D886))</f>
        <v/>
      </c>
      <c r="J886" s="8">
        <f>IF(A886="","",IF(E886="",1E+99,IFERROR(VLOOKUP(E886,Eingabe!$D$5:$E$44,2,FALSE),Eingabe!$B$9)))</f>
        <v/>
      </c>
      <c r="K886" s="8">
        <f>IF(A886="","",IF(E886="",1E+99,J886-SUMIFS($F$2:F886,$E$2:E886,E886)))</f>
        <v/>
      </c>
      <c r="L886" s="5">
        <f>IF(A886="","",IF(OR(H886&lt;0,I886&lt;0,K886&lt;0),"UNMOEGLICH","OK"))</f>
        <v/>
      </c>
    </row>
    <row r="887">
      <c r="A887" s="7">
        <f>IF(ROW()-1&lt;=Eingabe!$B$4-Eingabe!$B$3+1,Eingabe!$B$3+ROW()-2,"")</f>
        <v/>
      </c>
      <c r="B887" s="5">
        <f>IF(A887="","",TEXT(A887,"yyyy-mm-dd"))</f>
        <v/>
      </c>
      <c r="C887" s="5">
        <f>IF(A887="","",TEXT(A887,"ddd"))</f>
        <v/>
      </c>
      <c r="D887" s="5">
        <f>IF(A887="","",TEXT(A887,"yyyy-mm"))</f>
        <v/>
      </c>
      <c r="E887" s="5">
        <f>IF(A887="","",IF(A887&lt;Eingabe!$B$5,"",INT((A887-Eingabe!$B$5)/(Eingabe!$B$6*7))+1))</f>
        <v/>
      </c>
      <c r="F887" s="8">
        <f>IF(A887="","",SUMPRODUCT((Eingabe!$B$16:$B$165&lt;&gt;"")*(Eingabe!$J$16:$J$165)*--(A887&gt;=Eingabe!$G$16:$G$165)*--(A887&lt;=Eingabe!$H$16:$H$165)*--(WEEKDAY(A887,2)&lt;=5)))</f>
        <v/>
      </c>
      <c r="G887" s="8">
        <f>IF(A887="","",SUM($F$2:F887))</f>
        <v/>
      </c>
      <c r="H887" s="8">
        <f>IF(A887="","",Eingabe!$B$7-G887)</f>
        <v/>
      </c>
      <c r="I887" s="8">
        <f>IF(A887="","",Eingabe!$B$8-SUMIFS($F$2:F887,$D$2:D887,D887))</f>
        <v/>
      </c>
      <c r="J887" s="8">
        <f>IF(A887="","",IF(E887="",1E+99,IFERROR(VLOOKUP(E887,Eingabe!$D$5:$E$44,2,FALSE),Eingabe!$B$9)))</f>
        <v/>
      </c>
      <c r="K887" s="8">
        <f>IF(A887="","",IF(E887="",1E+99,J887-SUMIFS($F$2:F887,$E$2:E887,E887)))</f>
        <v/>
      </c>
      <c r="L887" s="5">
        <f>IF(A887="","",IF(OR(H887&lt;0,I887&lt;0,K887&lt;0),"UNMOEGLICH","OK"))</f>
        <v/>
      </c>
    </row>
    <row r="888">
      <c r="A888" s="7">
        <f>IF(ROW()-1&lt;=Eingabe!$B$4-Eingabe!$B$3+1,Eingabe!$B$3+ROW()-2,"")</f>
        <v/>
      </c>
      <c r="B888" s="5">
        <f>IF(A888="","",TEXT(A888,"yyyy-mm-dd"))</f>
        <v/>
      </c>
      <c r="C888" s="5">
        <f>IF(A888="","",TEXT(A888,"ddd"))</f>
        <v/>
      </c>
      <c r="D888" s="5">
        <f>IF(A888="","",TEXT(A888,"yyyy-mm"))</f>
        <v/>
      </c>
      <c r="E888" s="5">
        <f>IF(A888="","",IF(A888&lt;Eingabe!$B$5,"",INT((A888-Eingabe!$B$5)/(Eingabe!$B$6*7))+1))</f>
        <v/>
      </c>
      <c r="F888" s="8">
        <f>IF(A888="","",SUMPRODUCT((Eingabe!$B$16:$B$165&lt;&gt;"")*(Eingabe!$J$16:$J$165)*--(A888&gt;=Eingabe!$G$16:$G$165)*--(A888&lt;=Eingabe!$H$16:$H$165)*--(WEEKDAY(A888,2)&lt;=5)))</f>
        <v/>
      </c>
      <c r="G888" s="8">
        <f>IF(A888="","",SUM($F$2:F888))</f>
        <v/>
      </c>
      <c r="H888" s="8">
        <f>IF(A888="","",Eingabe!$B$7-G888)</f>
        <v/>
      </c>
      <c r="I888" s="8">
        <f>IF(A888="","",Eingabe!$B$8-SUMIFS($F$2:F888,$D$2:D888,D888))</f>
        <v/>
      </c>
      <c r="J888" s="8">
        <f>IF(A888="","",IF(E888="",1E+99,IFERROR(VLOOKUP(E888,Eingabe!$D$5:$E$44,2,FALSE),Eingabe!$B$9)))</f>
        <v/>
      </c>
      <c r="K888" s="8">
        <f>IF(A888="","",IF(E888="",1E+99,J888-SUMIFS($F$2:F888,$E$2:E888,E888)))</f>
        <v/>
      </c>
      <c r="L888" s="5">
        <f>IF(A888="","",IF(OR(H888&lt;0,I888&lt;0,K888&lt;0),"UNMOEGLICH","OK"))</f>
        <v/>
      </c>
    </row>
    <row r="889">
      <c r="A889" s="7">
        <f>IF(ROW()-1&lt;=Eingabe!$B$4-Eingabe!$B$3+1,Eingabe!$B$3+ROW()-2,"")</f>
        <v/>
      </c>
      <c r="B889" s="5">
        <f>IF(A889="","",TEXT(A889,"yyyy-mm-dd"))</f>
        <v/>
      </c>
      <c r="C889" s="5">
        <f>IF(A889="","",TEXT(A889,"ddd"))</f>
        <v/>
      </c>
      <c r="D889" s="5">
        <f>IF(A889="","",TEXT(A889,"yyyy-mm"))</f>
        <v/>
      </c>
      <c r="E889" s="5">
        <f>IF(A889="","",IF(A889&lt;Eingabe!$B$5,"",INT((A889-Eingabe!$B$5)/(Eingabe!$B$6*7))+1))</f>
        <v/>
      </c>
      <c r="F889" s="8">
        <f>IF(A889="","",SUMPRODUCT((Eingabe!$B$16:$B$165&lt;&gt;"")*(Eingabe!$J$16:$J$165)*--(A889&gt;=Eingabe!$G$16:$G$165)*--(A889&lt;=Eingabe!$H$16:$H$165)*--(WEEKDAY(A889,2)&lt;=5)))</f>
        <v/>
      </c>
      <c r="G889" s="8">
        <f>IF(A889="","",SUM($F$2:F889))</f>
        <v/>
      </c>
      <c r="H889" s="8">
        <f>IF(A889="","",Eingabe!$B$7-G889)</f>
        <v/>
      </c>
      <c r="I889" s="8">
        <f>IF(A889="","",Eingabe!$B$8-SUMIFS($F$2:F889,$D$2:D889,D889))</f>
        <v/>
      </c>
      <c r="J889" s="8">
        <f>IF(A889="","",IF(E889="",1E+99,IFERROR(VLOOKUP(E889,Eingabe!$D$5:$E$44,2,FALSE),Eingabe!$B$9)))</f>
        <v/>
      </c>
      <c r="K889" s="8">
        <f>IF(A889="","",IF(E889="",1E+99,J889-SUMIFS($F$2:F889,$E$2:E889,E889)))</f>
        <v/>
      </c>
      <c r="L889" s="5">
        <f>IF(A889="","",IF(OR(H889&lt;0,I889&lt;0,K889&lt;0),"UNMOEGLICH","OK"))</f>
        <v/>
      </c>
    </row>
    <row r="890">
      <c r="A890" s="7">
        <f>IF(ROW()-1&lt;=Eingabe!$B$4-Eingabe!$B$3+1,Eingabe!$B$3+ROW()-2,"")</f>
        <v/>
      </c>
      <c r="B890" s="5">
        <f>IF(A890="","",TEXT(A890,"yyyy-mm-dd"))</f>
        <v/>
      </c>
      <c r="C890" s="5">
        <f>IF(A890="","",TEXT(A890,"ddd"))</f>
        <v/>
      </c>
      <c r="D890" s="5">
        <f>IF(A890="","",TEXT(A890,"yyyy-mm"))</f>
        <v/>
      </c>
      <c r="E890" s="5">
        <f>IF(A890="","",IF(A890&lt;Eingabe!$B$5,"",INT((A890-Eingabe!$B$5)/(Eingabe!$B$6*7))+1))</f>
        <v/>
      </c>
      <c r="F890" s="8">
        <f>IF(A890="","",SUMPRODUCT((Eingabe!$B$16:$B$165&lt;&gt;"")*(Eingabe!$J$16:$J$165)*--(A890&gt;=Eingabe!$G$16:$G$165)*--(A890&lt;=Eingabe!$H$16:$H$165)*--(WEEKDAY(A890,2)&lt;=5)))</f>
        <v/>
      </c>
      <c r="G890" s="8">
        <f>IF(A890="","",SUM($F$2:F890))</f>
        <v/>
      </c>
      <c r="H890" s="8">
        <f>IF(A890="","",Eingabe!$B$7-G890)</f>
        <v/>
      </c>
      <c r="I890" s="8">
        <f>IF(A890="","",Eingabe!$B$8-SUMIFS($F$2:F890,$D$2:D890,D890))</f>
        <v/>
      </c>
      <c r="J890" s="8">
        <f>IF(A890="","",IF(E890="",1E+99,IFERROR(VLOOKUP(E890,Eingabe!$D$5:$E$44,2,FALSE),Eingabe!$B$9)))</f>
        <v/>
      </c>
      <c r="K890" s="8">
        <f>IF(A890="","",IF(E890="",1E+99,J890-SUMIFS($F$2:F890,$E$2:E890,E890)))</f>
        <v/>
      </c>
      <c r="L890" s="5">
        <f>IF(A890="","",IF(OR(H890&lt;0,I890&lt;0,K890&lt;0),"UNMOEGLICH","OK"))</f>
        <v/>
      </c>
    </row>
    <row r="891">
      <c r="A891" s="7">
        <f>IF(ROW()-1&lt;=Eingabe!$B$4-Eingabe!$B$3+1,Eingabe!$B$3+ROW()-2,"")</f>
        <v/>
      </c>
      <c r="B891" s="5">
        <f>IF(A891="","",TEXT(A891,"yyyy-mm-dd"))</f>
        <v/>
      </c>
      <c r="C891" s="5">
        <f>IF(A891="","",TEXT(A891,"ddd"))</f>
        <v/>
      </c>
      <c r="D891" s="5">
        <f>IF(A891="","",TEXT(A891,"yyyy-mm"))</f>
        <v/>
      </c>
      <c r="E891" s="5">
        <f>IF(A891="","",IF(A891&lt;Eingabe!$B$5,"",INT((A891-Eingabe!$B$5)/(Eingabe!$B$6*7))+1))</f>
        <v/>
      </c>
      <c r="F891" s="8">
        <f>IF(A891="","",SUMPRODUCT((Eingabe!$B$16:$B$165&lt;&gt;"")*(Eingabe!$J$16:$J$165)*--(A891&gt;=Eingabe!$G$16:$G$165)*--(A891&lt;=Eingabe!$H$16:$H$165)*--(WEEKDAY(A891,2)&lt;=5)))</f>
        <v/>
      </c>
      <c r="G891" s="8">
        <f>IF(A891="","",SUM($F$2:F891))</f>
        <v/>
      </c>
      <c r="H891" s="8">
        <f>IF(A891="","",Eingabe!$B$7-G891)</f>
        <v/>
      </c>
      <c r="I891" s="8">
        <f>IF(A891="","",Eingabe!$B$8-SUMIFS($F$2:F891,$D$2:D891,D891))</f>
        <v/>
      </c>
      <c r="J891" s="8">
        <f>IF(A891="","",IF(E891="",1E+99,IFERROR(VLOOKUP(E891,Eingabe!$D$5:$E$44,2,FALSE),Eingabe!$B$9)))</f>
        <v/>
      </c>
      <c r="K891" s="8">
        <f>IF(A891="","",IF(E891="",1E+99,J891-SUMIFS($F$2:F891,$E$2:E891,E891)))</f>
        <v/>
      </c>
      <c r="L891" s="5">
        <f>IF(A891="","",IF(OR(H891&lt;0,I891&lt;0,K891&lt;0),"UNMOEGLICH","OK"))</f>
        <v/>
      </c>
    </row>
    <row r="892">
      <c r="A892" s="7">
        <f>IF(ROW()-1&lt;=Eingabe!$B$4-Eingabe!$B$3+1,Eingabe!$B$3+ROW()-2,"")</f>
        <v/>
      </c>
      <c r="B892" s="5">
        <f>IF(A892="","",TEXT(A892,"yyyy-mm-dd"))</f>
        <v/>
      </c>
      <c r="C892" s="5">
        <f>IF(A892="","",TEXT(A892,"ddd"))</f>
        <v/>
      </c>
      <c r="D892" s="5">
        <f>IF(A892="","",TEXT(A892,"yyyy-mm"))</f>
        <v/>
      </c>
      <c r="E892" s="5">
        <f>IF(A892="","",IF(A892&lt;Eingabe!$B$5,"",INT((A892-Eingabe!$B$5)/(Eingabe!$B$6*7))+1))</f>
        <v/>
      </c>
      <c r="F892" s="8">
        <f>IF(A892="","",SUMPRODUCT((Eingabe!$B$16:$B$165&lt;&gt;"")*(Eingabe!$J$16:$J$165)*--(A892&gt;=Eingabe!$G$16:$G$165)*--(A892&lt;=Eingabe!$H$16:$H$165)*--(WEEKDAY(A892,2)&lt;=5)))</f>
        <v/>
      </c>
      <c r="G892" s="8">
        <f>IF(A892="","",SUM($F$2:F892))</f>
        <v/>
      </c>
      <c r="H892" s="8">
        <f>IF(A892="","",Eingabe!$B$7-G892)</f>
        <v/>
      </c>
      <c r="I892" s="8">
        <f>IF(A892="","",Eingabe!$B$8-SUMIFS($F$2:F892,$D$2:D892,D892))</f>
        <v/>
      </c>
      <c r="J892" s="8">
        <f>IF(A892="","",IF(E892="",1E+99,IFERROR(VLOOKUP(E892,Eingabe!$D$5:$E$44,2,FALSE),Eingabe!$B$9)))</f>
        <v/>
      </c>
      <c r="K892" s="8">
        <f>IF(A892="","",IF(E892="",1E+99,J892-SUMIFS($F$2:F892,$E$2:E892,E892)))</f>
        <v/>
      </c>
      <c r="L892" s="5">
        <f>IF(A892="","",IF(OR(H892&lt;0,I892&lt;0,K892&lt;0),"UNMOEGLICH","OK"))</f>
        <v/>
      </c>
    </row>
    <row r="893">
      <c r="A893" s="7">
        <f>IF(ROW()-1&lt;=Eingabe!$B$4-Eingabe!$B$3+1,Eingabe!$B$3+ROW()-2,"")</f>
        <v/>
      </c>
      <c r="B893" s="5">
        <f>IF(A893="","",TEXT(A893,"yyyy-mm-dd"))</f>
        <v/>
      </c>
      <c r="C893" s="5">
        <f>IF(A893="","",TEXT(A893,"ddd"))</f>
        <v/>
      </c>
      <c r="D893" s="5">
        <f>IF(A893="","",TEXT(A893,"yyyy-mm"))</f>
        <v/>
      </c>
      <c r="E893" s="5">
        <f>IF(A893="","",IF(A893&lt;Eingabe!$B$5,"",INT((A893-Eingabe!$B$5)/(Eingabe!$B$6*7))+1))</f>
        <v/>
      </c>
      <c r="F893" s="8">
        <f>IF(A893="","",SUMPRODUCT((Eingabe!$B$16:$B$165&lt;&gt;"")*(Eingabe!$J$16:$J$165)*--(A893&gt;=Eingabe!$G$16:$G$165)*--(A893&lt;=Eingabe!$H$16:$H$165)*--(WEEKDAY(A893,2)&lt;=5)))</f>
        <v/>
      </c>
      <c r="G893" s="8">
        <f>IF(A893="","",SUM($F$2:F893))</f>
        <v/>
      </c>
      <c r="H893" s="8">
        <f>IF(A893="","",Eingabe!$B$7-G893)</f>
        <v/>
      </c>
      <c r="I893" s="8">
        <f>IF(A893="","",Eingabe!$B$8-SUMIFS($F$2:F893,$D$2:D893,D893))</f>
        <v/>
      </c>
      <c r="J893" s="8">
        <f>IF(A893="","",IF(E893="",1E+99,IFERROR(VLOOKUP(E893,Eingabe!$D$5:$E$44,2,FALSE),Eingabe!$B$9)))</f>
        <v/>
      </c>
      <c r="K893" s="8">
        <f>IF(A893="","",IF(E893="",1E+99,J893-SUMIFS($F$2:F893,$E$2:E893,E893)))</f>
        <v/>
      </c>
      <c r="L893" s="5">
        <f>IF(A893="","",IF(OR(H893&lt;0,I893&lt;0,K893&lt;0),"UNMOEGLICH","OK"))</f>
        <v/>
      </c>
    </row>
    <row r="894">
      <c r="A894" s="7">
        <f>IF(ROW()-1&lt;=Eingabe!$B$4-Eingabe!$B$3+1,Eingabe!$B$3+ROW()-2,"")</f>
        <v/>
      </c>
      <c r="B894" s="5">
        <f>IF(A894="","",TEXT(A894,"yyyy-mm-dd"))</f>
        <v/>
      </c>
      <c r="C894" s="5">
        <f>IF(A894="","",TEXT(A894,"ddd"))</f>
        <v/>
      </c>
      <c r="D894" s="5">
        <f>IF(A894="","",TEXT(A894,"yyyy-mm"))</f>
        <v/>
      </c>
      <c r="E894" s="5">
        <f>IF(A894="","",IF(A894&lt;Eingabe!$B$5,"",INT((A894-Eingabe!$B$5)/(Eingabe!$B$6*7))+1))</f>
        <v/>
      </c>
      <c r="F894" s="8">
        <f>IF(A894="","",SUMPRODUCT((Eingabe!$B$16:$B$165&lt;&gt;"")*(Eingabe!$J$16:$J$165)*--(A894&gt;=Eingabe!$G$16:$G$165)*--(A894&lt;=Eingabe!$H$16:$H$165)*--(WEEKDAY(A894,2)&lt;=5)))</f>
        <v/>
      </c>
      <c r="G894" s="8">
        <f>IF(A894="","",SUM($F$2:F894))</f>
        <v/>
      </c>
      <c r="H894" s="8">
        <f>IF(A894="","",Eingabe!$B$7-G894)</f>
        <v/>
      </c>
      <c r="I894" s="8">
        <f>IF(A894="","",Eingabe!$B$8-SUMIFS($F$2:F894,$D$2:D894,D894))</f>
        <v/>
      </c>
      <c r="J894" s="8">
        <f>IF(A894="","",IF(E894="",1E+99,IFERROR(VLOOKUP(E894,Eingabe!$D$5:$E$44,2,FALSE),Eingabe!$B$9)))</f>
        <v/>
      </c>
      <c r="K894" s="8">
        <f>IF(A894="","",IF(E894="",1E+99,J894-SUMIFS($F$2:F894,$E$2:E894,E894)))</f>
        <v/>
      </c>
      <c r="L894" s="5">
        <f>IF(A894="","",IF(OR(H894&lt;0,I894&lt;0,K894&lt;0),"UNMOEGLICH","OK"))</f>
        <v/>
      </c>
    </row>
    <row r="895">
      <c r="A895" s="7">
        <f>IF(ROW()-1&lt;=Eingabe!$B$4-Eingabe!$B$3+1,Eingabe!$B$3+ROW()-2,"")</f>
        <v/>
      </c>
      <c r="B895" s="5">
        <f>IF(A895="","",TEXT(A895,"yyyy-mm-dd"))</f>
        <v/>
      </c>
      <c r="C895" s="5">
        <f>IF(A895="","",TEXT(A895,"ddd"))</f>
        <v/>
      </c>
      <c r="D895" s="5">
        <f>IF(A895="","",TEXT(A895,"yyyy-mm"))</f>
        <v/>
      </c>
      <c r="E895" s="5">
        <f>IF(A895="","",IF(A895&lt;Eingabe!$B$5,"",INT((A895-Eingabe!$B$5)/(Eingabe!$B$6*7))+1))</f>
        <v/>
      </c>
      <c r="F895" s="8">
        <f>IF(A895="","",SUMPRODUCT((Eingabe!$B$16:$B$165&lt;&gt;"")*(Eingabe!$J$16:$J$165)*--(A895&gt;=Eingabe!$G$16:$G$165)*--(A895&lt;=Eingabe!$H$16:$H$165)*--(WEEKDAY(A895,2)&lt;=5)))</f>
        <v/>
      </c>
      <c r="G895" s="8">
        <f>IF(A895="","",SUM($F$2:F895))</f>
        <v/>
      </c>
      <c r="H895" s="8">
        <f>IF(A895="","",Eingabe!$B$7-G895)</f>
        <v/>
      </c>
      <c r="I895" s="8">
        <f>IF(A895="","",Eingabe!$B$8-SUMIFS($F$2:F895,$D$2:D895,D895))</f>
        <v/>
      </c>
      <c r="J895" s="8">
        <f>IF(A895="","",IF(E895="",1E+99,IFERROR(VLOOKUP(E895,Eingabe!$D$5:$E$44,2,FALSE),Eingabe!$B$9)))</f>
        <v/>
      </c>
      <c r="K895" s="8">
        <f>IF(A895="","",IF(E895="",1E+99,J895-SUMIFS($F$2:F895,$E$2:E895,E895)))</f>
        <v/>
      </c>
      <c r="L895" s="5">
        <f>IF(A895="","",IF(OR(H895&lt;0,I895&lt;0,K895&lt;0),"UNMOEGLICH","OK"))</f>
        <v/>
      </c>
    </row>
    <row r="896">
      <c r="A896" s="7">
        <f>IF(ROW()-1&lt;=Eingabe!$B$4-Eingabe!$B$3+1,Eingabe!$B$3+ROW()-2,"")</f>
        <v/>
      </c>
      <c r="B896" s="5">
        <f>IF(A896="","",TEXT(A896,"yyyy-mm-dd"))</f>
        <v/>
      </c>
      <c r="C896" s="5">
        <f>IF(A896="","",TEXT(A896,"ddd"))</f>
        <v/>
      </c>
      <c r="D896" s="5">
        <f>IF(A896="","",TEXT(A896,"yyyy-mm"))</f>
        <v/>
      </c>
      <c r="E896" s="5">
        <f>IF(A896="","",IF(A896&lt;Eingabe!$B$5,"",INT((A896-Eingabe!$B$5)/(Eingabe!$B$6*7))+1))</f>
        <v/>
      </c>
      <c r="F896" s="8">
        <f>IF(A896="","",SUMPRODUCT((Eingabe!$B$16:$B$165&lt;&gt;"")*(Eingabe!$J$16:$J$165)*--(A896&gt;=Eingabe!$G$16:$G$165)*--(A896&lt;=Eingabe!$H$16:$H$165)*--(WEEKDAY(A896,2)&lt;=5)))</f>
        <v/>
      </c>
      <c r="G896" s="8">
        <f>IF(A896="","",SUM($F$2:F896))</f>
        <v/>
      </c>
      <c r="H896" s="8">
        <f>IF(A896="","",Eingabe!$B$7-G896)</f>
        <v/>
      </c>
      <c r="I896" s="8">
        <f>IF(A896="","",Eingabe!$B$8-SUMIFS($F$2:F896,$D$2:D896,D896))</f>
        <v/>
      </c>
      <c r="J896" s="8">
        <f>IF(A896="","",IF(E896="",1E+99,IFERROR(VLOOKUP(E896,Eingabe!$D$5:$E$44,2,FALSE),Eingabe!$B$9)))</f>
        <v/>
      </c>
      <c r="K896" s="8">
        <f>IF(A896="","",IF(E896="",1E+99,J896-SUMIFS($F$2:F896,$E$2:E896,E896)))</f>
        <v/>
      </c>
      <c r="L896" s="5">
        <f>IF(A896="","",IF(OR(H896&lt;0,I896&lt;0,K896&lt;0),"UNMOEGLICH","OK"))</f>
        <v/>
      </c>
    </row>
    <row r="897">
      <c r="A897" s="7">
        <f>IF(ROW()-1&lt;=Eingabe!$B$4-Eingabe!$B$3+1,Eingabe!$B$3+ROW()-2,"")</f>
        <v/>
      </c>
      <c r="B897" s="5">
        <f>IF(A897="","",TEXT(A897,"yyyy-mm-dd"))</f>
        <v/>
      </c>
      <c r="C897" s="5">
        <f>IF(A897="","",TEXT(A897,"ddd"))</f>
        <v/>
      </c>
      <c r="D897" s="5">
        <f>IF(A897="","",TEXT(A897,"yyyy-mm"))</f>
        <v/>
      </c>
      <c r="E897" s="5">
        <f>IF(A897="","",IF(A897&lt;Eingabe!$B$5,"",INT((A897-Eingabe!$B$5)/(Eingabe!$B$6*7))+1))</f>
        <v/>
      </c>
      <c r="F897" s="8">
        <f>IF(A897="","",SUMPRODUCT((Eingabe!$B$16:$B$165&lt;&gt;"")*(Eingabe!$J$16:$J$165)*--(A897&gt;=Eingabe!$G$16:$G$165)*--(A897&lt;=Eingabe!$H$16:$H$165)*--(WEEKDAY(A897,2)&lt;=5)))</f>
        <v/>
      </c>
      <c r="G897" s="8">
        <f>IF(A897="","",SUM($F$2:F897))</f>
        <v/>
      </c>
      <c r="H897" s="8">
        <f>IF(A897="","",Eingabe!$B$7-G897)</f>
        <v/>
      </c>
      <c r="I897" s="8">
        <f>IF(A897="","",Eingabe!$B$8-SUMIFS($F$2:F897,$D$2:D897,D897))</f>
        <v/>
      </c>
      <c r="J897" s="8">
        <f>IF(A897="","",IF(E897="",1E+99,IFERROR(VLOOKUP(E897,Eingabe!$D$5:$E$44,2,FALSE),Eingabe!$B$9)))</f>
        <v/>
      </c>
      <c r="K897" s="8">
        <f>IF(A897="","",IF(E897="",1E+99,J897-SUMIFS($F$2:F897,$E$2:E897,E897)))</f>
        <v/>
      </c>
      <c r="L897" s="5">
        <f>IF(A897="","",IF(OR(H897&lt;0,I897&lt;0,K897&lt;0),"UNMOEGLICH","OK"))</f>
        <v/>
      </c>
    </row>
    <row r="898">
      <c r="A898" s="7">
        <f>IF(ROW()-1&lt;=Eingabe!$B$4-Eingabe!$B$3+1,Eingabe!$B$3+ROW()-2,"")</f>
        <v/>
      </c>
      <c r="B898" s="5">
        <f>IF(A898="","",TEXT(A898,"yyyy-mm-dd"))</f>
        <v/>
      </c>
      <c r="C898" s="5">
        <f>IF(A898="","",TEXT(A898,"ddd"))</f>
        <v/>
      </c>
      <c r="D898" s="5">
        <f>IF(A898="","",TEXT(A898,"yyyy-mm"))</f>
        <v/>
      </c>
      <c r="E898" s="5">
        <f>IF(A898="","",IF(A898&lt;Eingabe!$B$5,"",INT((A898-Eingabe!$B$5)/(Eingabe!$B$6*7))+1))</f>
        <v/>
      </c>
      <c r="F898" s="8">
        <f>IF(A898="","",SUMPRODUCT((Eingabe!$B$16:$B$165&lt;&gt;"")*(Eingabe!$J$16:$J$165)*--(A898&gt;=Eingabe!$G$16:$G$165)*--(A898&lt;=Eingabe!$H$16:$H$165)*--(WEEKDAY(A898,2)&lt;=5)))</f>
        <v/>
      </c>
      <c r="G898" s="8">
        <f>IF(A898="","",SUM($F$2:F898))</f>
        <v/>
      </c>
      <c r="H898" s="8">
        <f>IF(A898="","",Eingabe!$B$7-G898)</f>
        <v/>
      </c>
      <c r="I898" s="8">
        <f>IF(A898="","",Eingabe!$B$8-SUMIFS($F$2:F898,$D$2:D898,D898))</f>
        <v/>
      </c>
      <c r="J898" s="8">
        <f>IF(A898="","",IF(E898="",1E+99,IFERROR(VLOOKUP(E898,Eingabe!$D$5:$E$44,2,FALSE),Eingabe!$B$9)))</f>
        <v/>
      </c>
      <c r="K898" s="8">
        <f>IF(A898="","",IF(E898="",1E+99,J898-SUMIFS($F$2:F898,$E$2:E898,E898)))</f>
        <v/>
      </c>
      <c r="L898" s="5">
        <f>IF(A898="","",IF(OR(H898&lt;0,I898&lt;0,K898&lt;0),"UNMOEGLICH","OK"))</f>
        <v/>
      </c>
    </row>
    <row r="899">
      <c r="A899" s="7">
        <f>IF(ROW()-1&lt;=Eingabe!$B$4-Eingabe!$B$3+1,Eingabe!$B$3+ROW()-2,"")</f>
        <v/>
      </c>
      <c r="B899" s="5">
        <f>IF(A899="","",TEXT(A899,"yyyy-mm-dd"))</f>
        <v/>
      </c>
      <c r="C899" s="5">
        <f>IF(A899="","",TEXT(A899,"ddd"))</f>
        <v/>
      </c>
      <c r="D899" s="5">
        <f>IF(A899="","",TEXT(A899,"yyyy-mm"))</f>
        <v/>
      </c>
      <c r="E899" s="5">
        <f>IF(A899="","",IF(A899&lt;Eingabe!$B$5,"",INT((A899-Eingabe!$B$5)/(Eingabe!$B$6*7))+1))</f>
        <v/>
      </c>
      <c r="F899" s="8">
        <f>IF(A899="","",SUMPRODUCT((Eingabe!$B$16:$B$165&lt;&gt;"")*(Eingabe!$J$16:$J$165)*--(A899&gt;=Eingabe!$G$16:$G$165)*--(A899&lt;=Eingabe!$H$16:$H$165)*--(WEEKDAY(A899,2)&lt;=5)))</f>
        <v/>
      </c>
      <c r="G899" s="8">
        <f>IF(A899="","",SUM($F$2:F899))</f>
        <v/>
      </c>
      <c r="H899" s="8">
        <f>IF(A899="","",Eingabe!$B$7-G899)</f>
        <v/>
      </c>
      <c r="I899" s="8">
        <f>IF(A899="","",Eingabe!$B$8-SUMIFS($F$2:F899,$D$2:D899,D899))</f>
        <v/>
      </c>
      <c r="J899" s="8">
        <f>IF(A899="","",IF(E899="",1E+99,IFERROR(VLOOKUP(E899,Eingabe!$D$5:$E$44,2,FALSE),Eingabe!$B$9)))</f>
        <v/>
      </c>
      <c r="K899" s="8">
        <f>IF(A899="","",IF(E899="",1E+99,J899-SUMIFS($F$2:F899,$E$2:E899,E899)))</f>
        <v/>
      </c>
      <c r="L899" s="5">
        <f>IF(A899="","",IF(OR(H899&lt;0,I899&lt;0,K899&lt;0),"UNMOEGLICH","OK"))</f>
        <v/>
      </c>
    </row>
    <row r="900">
      <c r="A900" s="7">
        <f>IF(ROW()-1&lt;=Eingabe!$B$4-Eingabe!$B$3+1,Eingabe!$B$3+ROW()-2,"")</f>
        <v/>
      </c>
      <c r="B900" s="5">
        <f>IF(A900="","",TEXT(A900,"yyyy-mm-dd"))</f>
        <v/>
      </c>
      <c r="C900" s="5">
        <f>IF(A900="","",TEXT(A900,"ddd"))</f>
        <v/>
      </c>
      <c r="D900" s="5">
        <f>IF(A900="","",TEXT(A900,"yyyy-mm"))</f>
        <v/>
      </c>
      <c r="E900" s="5">
        <f>IF(A900="","",IF(A900&lt;Eingabe!$B$5,"",INT((A900-Eingabe!$B$5)/(Eingabe!$B$6*7))+1))</f>
        <v/>
      </c>
      <c r="F900" s="8">
        <f>IF(A900="","",SUMPRODUCT((Eingabe!$B$16:$B$165&lt;&gt;"")*(Eingabe!$J$16:$J$165)*--(A900&gt;=Eingabe!$G$16:$G$165)*--(A900&lt;=Eingabe!$H$16:$H$165)*--(WEEKDAY(A900,2)&lt;=5)))</f>
        <v/>
      </c>
      <c r="G900" s="8">
        <f>IF(A900="","",SUM($F$2:F900))</f>
        <v/>
      </c>
      <c r="H900" s="8">
        <f>IF(A900="","",Eingabe!$B$7-G900)</f>
        <v/>
      </c>
      <c r="I900" s="8">
        <f>IF(A900="","",Eingabe!$B$8-SUMIFS($F$2:F900,$D$2:D900,D900))</f>
        <v/>
      </c>
      <c r="J900" s="8">
        <f>IF(A900="","",IF(E900="",1E+99,IFERROR(VLOOKUP(E900,Eingabe!$D$5:$E$44,2,FALSE),Eingabe!$B$9)))</f>
        <v/>
      </c>
      <c r="K900" s="8">
        <f>IF(A900="","",IF(E900="",1E+99,J900-SUMIFS($F$2:F900,$E$2:E900,E900)))</f>
        <v/>
      </c>
      <c r="L900" s="5">
        <f>IF(A900="","",IF(OR(H900&lt;0,I900&lt;0,K900&lt;0),"UNMOEGLICH","OK"))</f>
        <v/>
      </c>
    </row>
    <row r="901">
      <c r="A901" s="7">
        <f>IF(ROW()-1&lt;=Eingabe!$B$4-Eingabe!$B$3+1,Eingabe!$B$3+ROW()-2,"")</f>
        <v/>
      </c>
      <c r="B901" s="5">
        <f>IF(A901="","",TEXT(A901,"yyyy-mm-dd"))</f>
        <v/>
      </c>
      <c r="C901" s="5">
        <f>IF(A901="","",TEXT(A901,"ddd"))</f>
        <v/>
      </c>
      <c r="D901" s="5">
        <f>IF(A901="","",TEXT(A901,"yyyy-mm"))</f>
        <v/>
      </c>
      <c r="E901" s="5">
        <f>IF(A901="","",IF(A901&lt;Eingabe!$B$5,"",INT((A901-Eingabe!$B$5)/(Eingabe!$B$6*7))+1))</f>
        <v/>
      </c>
      <c r="F901" s="8">
        <f>IF(A901="","",SUMPRODUCT((Eingabe!$B$16:$B$165&lt;&gt;"")*(Eingabe!$J$16:$J$165)*--(A901&gt;=Eingabe!$G$16:$G$165)*--(A901&lt;=Eingabe!$H$16:$H$165)*--(WEEKDAY(A901,2)&lt;=5)))</f>
        <v/>
      </c>
      <c r="G901" s="8">
        <f>IF(A901="","",SUM($F$2:F901))</f>
        <v/>
      </c>
      <c r="H901" s="8">
        <f>IF(A901="","",Eingabe!$B$7-G901)</f>
        <v/>
      </c>
      <c r="I901" s="8">
        <f>IF(A901="","",Eingabe!$B$8-SUMIFS($F$2:F901,$D$2:D901,D901))</f>
        <v/>
      </c>
      <c r="J901" s="8">
        <f>IF(A901="","",IF(E901="",1E+99,IFERROR(VLOOKUP(E901,Eingabe!$D$5:$E$44,2,FALSE),Eingabe!$B$9)))</f>
        <v/>
      </c>
      <c r="K901" s="8">
        <f>IF(A901="","",IF(E901="",1E+99,J901-SUMIFS($F$2:F901,$E$2:E901,E901)))</f>
        <v/>
      </c>
      <c r="L901" s="5">
        <f>IF(A901="","",IF(OR(H901&lt;0,I901&lt;0,K901&lt;0),"UNMOEGLICH","OK"))</f>
        <v/>
      </c>
    </row>
    <row r="902">
      <c r="A902" s="7">
        <f>IF(ROW()-1&lt;=Eingabe!$B$4-Eingabe!$B$3+1,Eingabe!$B$3+ROW()-2,"")</f>
        <v/>
      </c>
      <c r="B902" s="5">
        <f>IF(A902="","",TEXT(A902,"yyyy-mm-dd"))</f>
        <v/>
      </c>
      <c r="C902" s="5">
        <f>IF(A902="","",TEXT(A902,"ddd"))</f>
        <v/>
      </c>
      <c r="D902" s="5">
        <f>IF(A902="","",TEXT(A902,"yyyy-mm"))</f>
        <v/>
      </c>
      <c r="E902" s="5">
        <f>IF(A902="","",IF(A902&lt;Eingabe!$B$5,"",INT((A902-Eingabe!$B$5)/(Eingabe!$B$6*7))+1))</f>
        <v/>
      </c>
      <c r="F902" s="8">
        <f>IF(A902="","",SUMPRODUCT((Eingabe!$B$16:$B$165&lt;&gt;"")*(Eingabe!$J$16:$J$165)*--(A902&gt;=Eingabe!$G$16:$G$165)*--(A902&lt;=Eingabe!$H$16:$H$165)*--(WEEKDAY(A902,2)&lt;=5)))</f>
        <v/>
      </c>
      <c r="G902" s="8">
        <f>IF(A902="","",SUM($F$2:F902))</f>
        <v/>
      </c>
      <c r="H902" s="8">
        <f>IF(A902="","",Eingabe!$B$7-G902)</f>
        <v/>
      </c>
      <c r="I902" s="8">
        <f>IF(A902="","",Eingabe!$B$8-SUMIFS($F$2:F902,$D$2:D902,D902))</f>
        <v/>
      </c>
      <c r="J902" s="8">
        <f>IF(A902="","",IF(E902="",1E+99,IFERROR(VLOOKUP(E902,Eingabe!$D$5:$E$44,2,FALSE),Eingabe!$B$9)))</f>
        <v/>
      </c>
      <c r="K902" s="8">
        <f>IF(A902="","",IF(E902="",1E+99,J902-SUMIFS($F$2:F902,$E$2:E902,E902)))</f>
        <v/>
      </c>
      <c r="L902" s="5">
        <f>IF(A902="","",IF(OR(H902&lt;0,I902&lt;0,K902&lt;0),"UNMOEGLICH","OK"))</f>
        <v/>
      </c>
    </row>
    <row r="903">
      <c r="A903" s="7">
        <f>IF(ROW()-1&lt;=Eingabe!$B$4-Eingabe!$B$3+1,Eingabe!$B$3+ROW()-2,"")</f>
        <v/>
      </c>
      <c r="B903" s="5">
        <f>IF(A903="","",TEXT(A903,"yyyy-mm-dd"))</f>
        <v/>
      </c>
      <c r="C903" s="5">
        <f>IF(A903="","",TEXT(A903,"ddd"))</f>
        <v/>
      </c>
      <c r="D903" s="5">
        <f>IF(A903="","",TEXT(A903,"yyyy-mm"))</f>
        <v/>
      </c>
      <c r="E903" s="5">
        <f>IF(A903="","",IF(A903&lt;Eingabe!$B$5,"",INT((A903-Eingabe!$B$5)/(Eingabe!$B$6*7))+1))</f>
        <v/>
      </c>
      <c r="F903" s="8">
        <f>IF(A903="","",SUMPRODUCT((Eingabe!$B$16:$B$165&lt;&gt;"")*(Eingabe!$J$16:$J$165)*--(A903&gt;=Eingabe!$G$16:$G$165)*--(A903&lt;=Eingabe!$H$16:$H$165)*--(WEEKDAY(A903,2)&lt;=5)))</f>
        <v/>
      </c>
      <c r="G903" s="8">
        <f>IF(A903="","",SUM($F$2:F903))</f>
        <v/>
      </c>
      <c r="H903" s="8">
        <f>IF(A903="","",Eingabe!$B$7-G903)</f>
        <v/>
      </c>
      <c r="I903" s="8">
        <f>IF(A903="","",Eingabe!$B$8-SUMIFS($F$2:F903,$D$2:D903,D903))</f>
        <v/>
      </c>
      <c r="J903" s="8">
        <f>IF(A903="","",IF(E903="",1E+99,IFERROR(VLOOKUP(E903,Eingabe!$D$5:$E$44,2,FALSE),Eingabe!$B$9)))</f>
        <v/>
      </c>
      <c r="K903" s="8">
        <f>IF(A903="","",IF(E903="",1E+99,J903-SUMIFS($F$2:F903,$E$2:E903,E903)))</f>
        <v/>
      </c>
      <c r="L903" s="5">
        <f>IF(A903="","",IF(OR(H903&lt;0,I903&lt;0,K903&lt;0),"UNMOEGLICH","OK"))</f>
        <v/>
      </c>
    </row>
    <row r="904">
      <c r="A904" s="7">
        <f>IF(ROW()-1&lt;=Eingabe!$B$4-Eingabe!$B$3+1,Eingabe!$B$3+ROW()-2,"")</f>
        <v/>
      </c>
      <c r="B904" s="5">
        <f>IF(A904="","",TEXT(A904,"yyyy-mm-dd"))</f>
        <v/>
      </c>
      <c r="C904" s="5">
        <f>IF(A904="","",TEXT(A904,"ddd"))</f>
        <v/>
      </c>
      <c r="D904" s="5">
        <f>IF(A904="","",TEXT(A904,"yyyy-mm"))</f>
        <v/>
      </c>
      <c r="E904" s="5">
        <f>IF(A904="","",IF(A904&lt;Eingabe!$B$5,"",INT((A904-Eingabe!$B$5)/(Eingabe!$B$6*7))+1))</f>
        <v/>
      </c>
      <c r="F904" s="8">
        <f>IF(A904="","",SUMPRODUCT((Eingabe!$B$16:$B$165&lt;&gt;"")*(Eingabe!$J$16:$J$165)*--(A904&gt;=Eingabe!$G$16:$G$165)*--(A904&lt;=Eingabe!$H$16:$H$165)*--(WEEKDAY(A904,2)&lt;=5)))</f>
        <v/>
      </c>
      <c r="G904" s="8">
        <f>IF(A904="","",SUM($F$2:F904))</f>
        <v/>
      </c>
      <c r="H904" s="8">
        <f>IF(A904="","",Eingabe!$B$7-G904)</f>
        <v/>
      </c>
      <c r="I904" s="8">
        <f>IF(A904="","",Eingabe!$B$8-SUMIFS($F$2:F904,$D$2:D904,D904))</f>
        <v/>
      </c>
      <c r="J904" s="8">
        <f>IF(A904="","",IF(E904="",1E+99,IFERROR(VLOOKUP(E904,Eingabe!$D$5:$E$44,2,FALSE),Eingabe!$B$9)))</f>
        <v/>
      </c>
      <c r="K904" s="8">
        <f>IF(A904="","",IF(E904="",1E+99,J904-SUMIFS($F$2:F904,$E$2:E904,E904)))</f>
        <v/>
      </c>
      <c r="L904" s="5">
        <f>IF(A904="","",IF(OR(H904&lt;0,I904&lt;0,K904&lt;0),"UNMOEGLICH","OK"))</f>
        <v/>
      </c>
    </row>
    <row r="905">
      <c r="A905" s="7">
        <f>IF(ROW()-1&lt;=Eingabe!$B$4-Eingabe!$B$3+1,Eingabe!$B$3+ROW()-2,"")</f>
        <v/>
      </c>
      <c r="B905" s="5">
        <f>IF(A905="","",TEXT(A905,"yyyy-mm-dd"))</f>
        <v/>
      </c>
      <c r="C905" s="5">
        <f>IF(A905="","",TEXT(A905,"ddd"))</f>
        <v/>
      </c>
      <c r="D905" s="5">
        <f>IF(A905="","",TEXT(A905,"yyyy-mm"))</f>
        <v/>
      </c>
      <c r="E905" s="5">
        <f>IF(A905="","",IF(A905&lt;Eingabe!$B$5,"",INT((A905-Eingabe!$B$5)/(Eingabe!$B$6*7))+1))</f>
        <v/>
      </c>
      <c r="F905" s="8">
        <f>IF(A905="","",SUMPRODUCT((Eingabe!$B$16:$B$165&lt;&gt;"")*(Eingabe!$J$16:$J$165)*--(A905&gt;=Eingabe!$G$16:$G$165)*--(A905&lt;=Eingabe!$H$16:$H$165)*--(WEEKDAY(A905,2)&lt;=5)))</f>
        <v/>
      </c>
      <c r="G905" s="8">
        <f>IF(A905="","",SUM($F$2:F905))</f>
        <v/>
      </c>
      <c r="H905" s="8">
        <f>IF(A905="","",Eingabe!$B$7-G905)</f>
        <v/>
      </c>
      <c r="I905" s="8">
        <f>IF(A905="","",Eingabe!$B$8-SUMIFS($F$2:F905,$D$2:D905,D905))</f>
        <v/>
      </c>
      <c r="J905" s="8">
        <f>IF(A905="","",IF(E905="",1E+99,IFERROR(VLOOKUP(E905,Eingabe!$D$5:$E$44,2,FALSE),Eingabe!$B$9)))</f>
        <v/>
      </c>
      <c r="K905" s="8">
        <f>IF(A905="","",IF(E905="",1E+99,J905-SUMIFS($F$2:F905,$E$2:E905,E905)))</f>
        <v/>
      </c>
      <c r="L905" s="5">
        <f>IF(A905="","",IF(OR(H905&lt;0,I905&lt;0,K905&lt;0),"UNMOEGLICH","OK"))</f>
        <v/>
      </c>
    </row>
    <row r="906">
      <c r="A906" s="7">
        <f>IF(ROW()-1&lt;=Eingabe!$B$4-Eingabe!$B$3+1,Eingabe!$B$3+ROW()-2,"")</f>
        <v/>
      </c>
      <c r="B906" s="5">
        <f>IF(A906="","",TEXT(A906,"yyyy-mm-dd"))</f>
        <v/>
      </c>
      <c r="C906" s="5">
        <f>IF(A906="","",TEXT(A906,"ddd"))</f>
        <v/>
      </c>
      <c r="D906" s="5">
        <f>IF(A906="","",TEXT(A906,"yyyy-mm"))</f>
        <v/>
      </c>
      <c r="E906" s="5">
        <f>IF(A906="","",IF(A906&lt;Eingabe!$B$5,"",INT((A906-Eingabe!$B$5)/(Eingabe!$B$6*7))+1))</f>
        <v/>
      </c>
      <c r="F906" s="8">
        <f>IF(A906="","",SUMPRODUCT((Eingabe!$B$16:$B$165&lt;&gt;"")*(Eingabe!$J$16:$J$165)*--(A906&gt;=Eingabe!$G$16:$G$165)*--(A906&lt;=Eingabe!$H$16:$H$165)*--(WEEKDAY(A906,2)&lt;=5)))</f>
        <v/>
      </c>
      <c r="G906" s="8">
        <f>IF(A906="","",SUM($F$2:F906))</f>
        <v/>
      </c>
      <c r="H906" s="8">
        <f>IF(A906="","",Eingabe!$B$7-G906)</f>
        <v/>
      </c>
      <c r="I906" s="8">
        <f>IF(A906="","",Eingabe!$B$8-SUMIFS($F$2:F906,$D$2:D906,D906))</f>
        <v/>
      </c>
      <c r="J906" s="8">
        <f>IF(A906="","",IF(E906="",1E+99,IFERROR(VLOOKUP(E906,Eingabe!$D$5:$E$44,2,FALSE),Eingabe!$B$9)))</f>
        <v/>
      </c>
      <c r="K906" s="8">
        <f>IF(A906="","",IF(E906="",1E+99,J906-SUMIFS($F$2:F906,$E$2:E906,E906)))</f>
        <v/>
      </c>
      <c r="L906" s="5">
        <f>IF(A906="","",IF(OR(H906&lt;0,I906&lt;0,K906&lt;0),"UNMOEGLICH","OK"))</f>
        <v/>
      </c>
    </row>
    <row r="907">
      <c r="A907" s="7">
        <f>IF(ROW()-1&lt;=Eingabe!$B$4-Eingabe!$B$3+1,Eingabe!$B$3+ROW()-2,"")</f>
        <v/>
      </c>
      <c r="B907" s="5">
        <f>IF(A907="","",TEXT(A907,"yyyy-mm-dd"))</f>
        <v/>
      </c>
      <c r="C907" s="5">
        <f>IF(A907="","",TEXT(A907,"ddd"))</f>
        <v/>
      </c>
      <c r="D907" s="5">
        <f>IF(A907="","",TEXT(A907,"yyyy-mm"))</f>
        <v/>
      </c>
      <c r="E907" s="5">
        <f>IF(A907="","",IF(A907&lt;Eingabe!$B$5,"",INT((A907-Eingabe!$B$5)/(Eingabe!$B$6*7))+1))</f>
        <v/>
      </c>
      <c r="F907" s="8">
        <f>IF(A907="","",SUMPRODUCT((Eingabe!$B$16:$B$165&lt;&gt;"")*(Eingabe!$J$16:$J$165)*--(A907&gt;=Eingabe!$G$16:$G$165)*--(A907&lt;=Eingabe!$H$16:$H$165)*--(WEEKDAY(A907,2)&lt;=5)))</f>
        <v/>
      </c>
      <c r="G907" s="8">
        <f>IF(A907="","",SUM($F$2:F907))</f>
        <v/>
      </c>
      <c r="H907" s="8">
        <f>IF(A907="","",Eingabe!$B$7-G907)</f>
        <v/>
      </c>
      <c r="I907" s="8">
        <f>IF(A907="","",Eingabe!$B$8-SUMIFS($F$2:F907,$D$2:D907,D907))</f>
        <v/>
      </c>
      <c r="J907" s="8">
        <f>IF(A907="","",IF(E907="",1E+99,IFERROR(VLOOKUP(E907,Eingabe!$D$5:$E$44,2,FALSE),Eingabe!$B$9)))</f>
        <v/>
      </c>
      <c r="K907" s="8">
        <f>IF(A907="","",IF(E907="",1E+99,J907-SUMIFS($F$2:F907,$E$2:E907,E907)))</f>
        <v/>
      </c>
      <c r="L907" s="5">
        <f>IF(A907="","",IF(OR(H907&lt;0,I907&lt;0,K907&lt;0),"UNMOEGLICH","OK"))</f>
        <v/>
      </c>
    </row>
    <row r="908">
      <c r="A908" s="7">
        <f>IF(ROW()-1&lt;=Eingabe!$B$4-Eingabe!$B$3+1,Eingabe!$B$3+ROW()-2,"")</f>
        <v/>
      </c>
      <c r="B908" s="5">
        <f>IF(A908="","",TEXT(A908,"yyyy-mm-dd"))</f>
        <v/>
      </c>
      <c r="C908" s="5">
        <f>IF(A908="","",TEXT(A908,"ddd"))</f>
        <v/>
      </c>
      <c r="D908" s="5">
        <f>IF(A908="","",TEXT(A908,"yyyy-mm"))</f>
        <v/>
      </c>
      <c r="E908" s="5">
        <f>IF(A908="","",IF(A908&lt;Eingabe!$B$5,"",INT((A908-Eingabe!$B$5)/(Eingabe!$B$6*7))+1))</f>
        <v/>
      </c>
      <c r="F908" s="8">
        <f>IF(A908="","",SUMPRODUCT((Eingabe!$B$16:$B$165&lt;&gt;"")*(Eingabe!$J$16:$J$165)*--(A908&gt;=Eingabe!$G$16:$G$165)*--(A908&lt;=Eingabe!$H$16:$H$165)*--(WEEKDAY(A908,2)&lt;=5)))</f>
        <v/>
      </c>
      <c r="G908" s="8">
        <f>IF(A908="","",SUM($F$2:F908))</f>
        <v/>
      </c>
      <c r="H908" s="8">
        <f>IF(A908="","",Eingabe!$B$7-G908)</f>
        <v/>
      </c>
      <c r="I908" s="8">
        <f>IF(A908="","",Eingabe!$B$8-SUMIFS($F$2:F908,$D$2:D908,D908))</f>
        <v/>
      </c>
      <c r="J908" s="8">
        <f>IF(A908="","",IF(E908="",1E+99,IFERROR(VLOOKUP(E908,Eingabe!$D$5:$E$44,2,FALSE),Eingabe!$B$9)))</f>
        <v/>
      </c>
      <c r="K908" s="8">
        <f>IF(A908="","",IF(E908="",1E+99,J908-SUMIFS($F$2:F908,$E$2:E908,E908)))</f>
        <v/>
      </c>
      <c r="L908" s="5">
        <f>IF(A908="","",IF(OR(H908&lt;0,I908&lt;0,K908&lt;0),"UNMOEGLICH","OK"))</f>
        <v/>
      </c>
    </row>
    <row r="909">
      <c r="A909" s="7">
        <f>IF(ROW()-1&lt;=Eingabe!$B$4-Eingabe!$B$3+1,Eingabe!$B$3+ROW()-2,"")</f>
        <v/>
      </c>
      <c r="B909" s="5">
        <f>IF(A909="","",TEXT(A909,"yyyy-mm-dd"))</f>
        <v/>
      </c>
      <c r="C909" s="5">
        <f>IF(A909="","",TEXT(A909,"ddd"))</f>
        <v/>
      </c>
      <c r="D909" s="5">
        <f>IF(A909="","",TEXT(A909,"yyyy-mm"))</f>
        <v/>
      </c>
      <c r="E909" s="5">
        <f>IF(A909="","",IF(A909&lt;Eingabe!$B$5,"",INT((A909-Eingabe!$B$5)/(Eingabe!$B$6*7))+1))</f>
        <v/>
      </c>
      <c r="F909" s="8">
        <f>IF(A909="","",SUMPRODUCT((Eingabe!$B$16:$B$165&lt;&gt;"")*(Eingabe!$J$16:$J$165)*--(A909&gt;=Eingabe!$G$16:$G$165)*--(A909&lt;=Eingabe!$H$16:$H$165)*--(WEEKDAY(A909,2)&lt;=5)))</f>
        <v/>
      </c>
      <c r="G909" s="8">
        <f>IF(A909="","",SUM($F$2:F909))</f>
        <v/>
      </c>
      <c r="H909" s="8">
        <f>IF(A909="","",Eingabe!$B$7-G909)</f>
        <v/>
      </c>
      <c r="I909" s="8">
        <f>IF(A909="","",Eingabe!$B$8-SUMIFS($F$2:F909,$D$2:D909,D909))</f>
        <v/>
      </c>
      <c r="J909" s="8">
        <f>IF(A909="","",IF(E909="",1E+99,IFERROR(VLOOKUP(E909,Eingabe!$D$5:$E$44,2,FALSE),Eingabe!$B$9)))</f>
        <v/>
      </c>
      <c r="K909" s="8">
        <f>IF(A909="","",IF(E909="",1E+99,J909-SUMIFS($F$2:F909,$E$2:E909,E909)))</f>
        <v/>
      </c>
      <c r="L909" s="5">
        <f>IF(A909="","",IF(OR(H909&lt;0,I909&lt;0,K909&lt;0),"UNMOEGLICH","OK"))</f>
        <v/>
      </c>
    </row>
    <row r="910">
      <c r="A910" s="7">
        <f>IF(ROW()-1&lt;=Eingabe!$B$4-Eingabe!$B$3+1,Eingabe!$B$3+ROW()-2,"")</f>
        <v/>
      </c>
      <c r="B910" s="5">
        <f>IF(A910="","",TEXT(A910,"yyyy-mm-dd"))</f>
        <v/>
      </c>
      <c r="C910" s="5">
        <f>IF(A910="","",TEXT(A910,"ddd"))</f>
        <v/>
      </c>
      <c r="D910" s="5">
        <f>IF(A910="","",TEXT(A910,"yyyy-mm"))</f>
        <v/>
      </c>
      <c r="E910" s="5">
        <f>IF(A910="","",IF(A910&lt;Eingabe!$B$5,"",INT((A910-Eingabe!$B$5)/(Eingabe!$B$6*7))+1))</f>
        <v/>
      </c>
      <c r="F910" s="8">
        <f>IF(A910="","",SUMPRODUCT((Eingabe!$B$16:$B$165&lt;&gt;"")*(Eingabe!$J$16:$J$165)*--(A910&gt;=Eingabe!$G$16:$G$165)*--(A910&lt;=Eingabe!$H$16:$H$165)*--(WEEKDAY(A910,2)&lt;=5)))</f>
        <v/>
      </c>
      <c r="G910" s="8">
        <f>IF(A910="","",SUM($F$2:F910))</f>
        <v/>
      </c>
      <c r="H910" s="8">
        <f>IF(A910="","",Eingabe!$B$7-G910)</f>
        <v/>
      </c>
      <c r="I910" s="8">
        <f>IF(A910="","",Eingabe!$B$8-SUMIFS($F$2:F910,$D$2:D910,D910))</f>
        <v/>
      </c>
      <c r="J910" s="8">
        <f>IF(A910="","",IF(E910="",1E+99,IFERROR(VLOOKUP(E910,Eingabe!$D$5:$E$44,2,FALSE),Eingabe!$B$9)))</f>
        <v/>
      </c>
      <c r="K910" s="8">
        <f>IF(A910="","",IF(E910="",1E+99,J910-SUMIFS($F$2:F910,$E$2:E910,E910)))</f>
        <v/>
      </c>
      <c r="L910" s="5">
        <f>IF(A910="","",IF(OR(H910&lt;0,I910&lt;0,K910&lt;0),"UNMOEGLICH","OK"))</f>
        <v/>
      </c>
    </row>
    <row r="911">
      <c r="A911" s="7">
        <f>IF(ROW()-1&lt;=Eingabe!$B$4-Eingabe!$B$3+1,Eingabe!$B$3+ROW()-2,"")</f>
        <v/>
      </c>
      <c r="B911" s="5">
        <f>IF(A911="","",TEXT(A911,"yyyy-mm-dd"))</f>
        <v/>
      </c>
      <c r="C911" s="5">
        <f>IF(A911="","",TEXT(A911,"ddd"))</f>
        <v/>
      </c>
      <c r="D911" s="5">
        <f>IF(A911="","",TEXT(A911,"yyyy-mm"))</f>
        <v/>
      </c>
      <c r="E911" s="5">
        <f>IF(A911="","",IF(A911&lt;Eingabe!$B$5,"",INT((A911-Eingabe!$B$5)/(Eingabe!$B$6*7))+1))</f>
        <v/>
      </c>
      <c r="F911" s="8">
        <f>IF(A911="","",SUMPRODUCT((Eingabe!$B$16:$B$165&lt;&gt;"")*(Eingabe!$J$16:$J$165)*--(A911&gt;=Eingabe!$G$16:$G$165)*--(A911&lt;=Eingabe!$H$16:$H$165)*--(WEEKDAY(A911,2)&lt;=5)))</f>
        <v/>
      </c>
      <c r="G911" s="8">
        <f>IF(A911="","",SUM($F$2:F911))</f>
        <v/>
      </c>
      <c r="H911" s="8">
        <f>IF(A911="","",Eingabe!$B$7-G911)</f>
        <v/>
      </c>
      <c r="I911" s="8">
        <f>IF(A911="","",Eingabe!$B$8-SUMIFS($F$2:F911,$D$2:D911,D911))</f>
        <v/>
      </c>
      <c r="J911" s="8">
        <f>IF(A911="","",IF(E911="",1E+99,IFERROR(VLOOKUP(E911,Eingabe!$D$5:$E$44,2,FALSE),Eingabe!$B$9)))</f>
        <v/>
      </c>
      <c r="K911" s="8">
        <f>IF(A911="","",IF(E911="",1E+99,J911-SUMIFS($F$2:F911,$E$2:E911,E911)))</f>
        <v/>
      </c>
      <c r="L911" s="5">
        <f>IF(A911="","",IF(OR(H911&lt;0,I911&lt;0,K911&lt;0),"UNMOEGLICH","OK"))</f>
        <v/>
      </c>
    </row>
    <row r="912">
      <c r="A912" s="7">
        <f>IF(ROW()-1&lt;=Eingabe!$B$4-Eingabe!$B$3+1,Eingabe!$B$3+ROW()-2,"")</f>
        <v/>
      </c>
      <c r="B912" s="5">
        <f>IF(A912="","",TEXT(A912,"yyyy-mm-dd"))</f>
        <v/>
      </c>
      <c r="C912" s="5">
        <f>IF(A912="","",TEXT(A912,"ddd"))</f>
        <v/>
      </c>
      <c r="D912" s="5">
        <f>IF(A912="","",TEXT(A912,"yyyy-mm"))</f>
        <v/>
      </c>
      <c r="E912" s="5">
        <f>IF(A912="","",IF(A912&lt;Eingabe!$B$5,"",INT((A912-Eingabe!$B$5)/(Eingabe!$B$6*7))+1))</f>
        <v/>
      </c>
      <c r="F912" s="8">
        <f>IF(A912="","",SUMPRODUCT((Eingabe!$B$16:$B$165&lt;&gt;"")*(Eingabe!$J$16:$J$165)*--(A912&gt;=Eingabe!$G$16:$G$165)*--(A912&lt;=Eingabe!$H$16:$H$165)*--(WEEKDAY(A912,2)&lt;=5)))</f>
        <v/>
      </c>
      <c r="G912" s="8">
        <f>IF(A912="","",SUM($F$2:F912))</f>
        <v/>
      </c>
      <c r="H912" s="8">
        <f>IF(A912="","",Eingabe!$B$7-G912)</f>
        <v/>
      </c>
      <c r="I912" s="8">
        <f>IF(A912="","",Eingabe!$B$8-SUMIFS($F$2:F912,$D$2:D912,D912))</f>
        <v/>
      </c>
      <c r="J912" s="8">
        <f>IF(A912="","",IF(E912="",1E+99,IFERROR(VLOOKUP(E912,Eingabe!$D$5:$E$44,2,FALSE),Eingabe!$B$9)))</f>
        <v/>
      </c>
      <c r="K912" s="8">
        <f>IF(A912="","",IF(E912="",1E+99,J912-SUMIFS($F$2:F912,$E$2:E912,E912)))</f>
        <v/>
      </c>
      <c r="L912" s="5">
        <f>IF(A912="","",IF(OR(H912&lt;0,I912&lt;0,K912&lt;0),"UNMOEGLICH","OK"))</f>
        <v/>
      </c>
    </row>
    <row r="913">
      <c r="A913" s="7">
        <f>IF(ROW()-1&lt;=Eingabe!$B$4-Eingabe!$B$3+1,Eingabe!$B$3+ROW()-2,"")</f>
        <v/>
      </c>
      <c r="B913" s="5">
        <f>IF(A913="","",TEXT(A913,"yyyy-mm-dd"))</f>
        <v/>
      </c>
      <c r="C913" s="5">
        <f>IF(A913="","",TEXT(A913,"ddd"))</f>
        <v/>
      </c>
      <c r="D913" s="5">
        <f>IF(A913="","",TEXT(A913,"yyyy-mm"))</f>
        <v/>
      </c>
      <c r="E913" s="5">
        <f>IF(A913="","",IF(A913&lt;Eingabe!$B$5,"",INT((A913-Eingabe!$B$5)/(Eingabe!$B$6*7))+1))</f>
        <v/>
      </c>
      <c r="F913" s="8">
        <f>IF(A913="","",SUMPRODUCT((Eingabe!$B$16:$B$165&lt;&gt;"")*(Eingabe!$J$16:$J$165)*--(A913&gt;=Eingabe!$G$16:$G$165)*--(A913&lt;=Eingabe!$H$16:$H$165)*--(WEEKDAY(A913,2)&lt;=5)))</f>
        <v/>
      </c>
      <c r="G913" s="8">
        <f>IF(A913="","",SUM($F$2:F913))</f>
        <v/>
      </c>
      <c r="H913" s="8">
        <f>IF(A913="","",Eingabe!$B$7-G913)</f>
        <v/>
      </c>
      <c r="I913" s="8">
        <f>IF(A913="","",Eingabe!$B$8-SUMIFS($F$2:F913,$D$2:D913,D913))</f>
        <v/>
      </c>
      <c r="J913" s="8">
        <f>IF(A913="","",IF(E913="",1E+99,IFERROR(VLOOKUP(E913,Eingabe!$D$5:$E$44,2,FALSE),Eingabe!$B$9)))</f>
        <v/>
      </c>
      <c r="K913" s="8">
        <f>IF(A913="","",IF(E913="",1E+99,J913-SUMIFS($F$2:F913,$E$2:E913,E913)))</f>
        <v/>
      </c>
      <c r="L913" s="5">
        <f>IF(A913="","",IF(OR(H913&lt;0,I913&lt;0,K913&lt;0),"UNMOEGLICH","OK"))</f>
        <v/>
      </c>
    </row>
    <row r="914">
      <c r="A914" s="7">
        <f>IF(ROW()-1&lt;=Eingabe!$B$4-Eingabe!$B$3+1,Eingabe!$B$3+ROW()-2,"")</f>
        <v/>
      </c>
      <c r="B914" s="5">
        <f>IF(A914="","",TEXT(A914,"yyyy-mm-dd"))</f>
        <v/>
      </c>
      <c r="C914" s="5">
        <f>IF(A914="","",TEXT(A914,"ddd"))</f>
        <v/>
      </c>
      <c r="D914" s="5">
        <f>IF(A914="","",TEXT(A914,"yyyy-mm"))</f>
        <v/>
      </c>
      <c r="E914" s="5">
        <f>IF(A914="","",IF(A914&lt;Eingabe!$B$5,"",INT((A914-Eingabe!$B$5)/(Eingabe!$B$6*7))+1))</f>
        <v/>
      </c>
      <c r="F914" s="8">
        <f>IF(A914="","",SUMPRODUCT((Eingabe!$B$16:$B$165&lt;&gt;"")*(Eingabe!$J$16:$J$165)*--(A914&gt;=Eingabe!$G$16:$G$165)*--(A914&lt;=Eingabe!$H$16:$H$165)*--(WEEKDAY(A914,2)&lt;=5)))</f>
        <v/>
      </c>
      <c r="G914" s="8">
        <f>IF(A914="","",SUM($F$2:F914))</f>
        <v/>
      </c>
      <c r="H914" s="8">
        <f>IF(A914="","",Eingabe!$B$7-G914)</f>
        <v/>
      </c>
      <c r="I914" s="8">
        <f>IF(A914="","",Eingabe!$B$8-SUMIFS($F$2:F914,$D$2:D914,D914))</f>
        <v/>
      </c>
      <c r="J914" s="8">
        <f>IF(A914="","",IF(E914="",1E+99,IFERROR(VLOOKUP(E914,Eingabe!$D$5:$E$44,2,FALSE),Eingabe!$B$9)))</f>
        <v/>
      </c>
      <c r="K914" s="8">
        <f>IF(A914="","",IF(E914="",1E+99,J914-SUMIFS($F$2:F914,$E$2:E914,E914)))</f>
        <v/>
      </c>
      <c r="L914" s="5">
        <f>IF(A914="","",IF(OR(H914&lt;0,I914&lt;0,K914&lt;0),"UNMOEGLICH","OK"))</f>
        <v/>
      </c>
    </row>
    <row r="915">
      <c r="A915" s="7">
        <f>IF(ROW()-1&lt;=Eingabe!$B$4-Eingabe!$B$3+1,Eingabe!$B$3+ROW()-2,"")</f>
        <v/>
      </c>
      <c r="B915" s="5">
        <f>IF(A915="","",TEXT(A915,"yyyy-mm-dd"))</f>
        <v/>
      </c>
      <c r="C915" s="5">
        <f>IF(A915="","",TEXT(A915,"ddd"))</f>
        <v/>
      </c>
      <c r="D915" s="5">
        <f>IF(A915="","",TEXT(A915,"yyyy-mm"))</f>
        <v/>
      </c>
      <c r="E915" s="5">
        <f>IF(A915="","",IF(A915&lt;Eingabe!$B$5,"",INT((A915-Eingabe!$B$5)/(Eingabe!$B$6*7))+1))</f>
        <v/>
      </c>
      <c r="F915" s="8">
        <f>IF(A915="","",SUMPRODUCT((Eingabe!$B$16:$B$165&lt;&gt;"")*(Eingabe!$J$16:$J$165)*--(A915&gt;=Eingabe!$G$16:$G$165)*--(A915&lt;=Eingabe!$H$16:$H$165)*--(WEEKDAY(A915,2)&lt;=5)))</f>
        <v/>
      </c>
      <c r="G915" s="8">
        <f>IF(A915="","",SUM($F$2:F915))</f>
        <v/>
      </c>
      <c r="H915" s="8">
        <f>IF(A915="","",Eingabe!$B$7-G915)</f>
        <v/>
      </c>
      <c r="I915" s="8">
        <f>IF(A915="","",Eingabe!$B$8-SUMIFS($F$2:F915,$D$2:D915,D915))</f>
        <v/>
      </c>
      <c r="J915" s="8">
        <f>IF(A915="","",IF(E915="",1E+99,IFERROR(VLOOKUP(E915,Eingabe!$D$5:$E$44,2,FALSE),Eingabe!$B$9)))</f>
        <v/>
      </c>
      <c r="K915" s="8">
        <f>IF(A915="","",IF(E915="",1E+99,J915-SUMIFS($F$2:F915,$E$2:E915,E915)))</f>
        <v/>
      </c>
      <c r="L915" s="5">
        <f>IF(A915="","",IF(OR(H915&lt;0,I915&lt;0,K915&lt;0),"UNMOEGLICH","OK"))</f>
        <v/>
      </c>
    </row>
    <row r="916">
      <c r="A916" s="7">
        <f>IF(ROW()-1&lt;=Eingabe!$B$4-Eingabe!$B$3+1,Eingabe!$B$3+ROW()-2,"")</f>
        <v/>
      </c>
      <c r="B916" s="5">
        <f>IF(A916="","",TEXT(A916,"yyyy-mm-dd"))</f>
        <v/>
      </c>
      <c r="C916" s="5">
        <f>IF(A916="","",TEXT(A916,"ddd"))</f>
        <v/>
      </c>
      <c r="D916" s="5">
        <f>IF(A916="","",TEXT(A916,"yyyy-mm"))</f>
        <v/>
      </c>
      <c r="E916" s="5">
        <f>IF(A916="","",IF(A916&lt;Eingabe!$B$5,"",INT((A916-Eingabe!$B$5)/(Eingabe!$B$6*7))+1))</f>
        <v/>
      </c>
      <c r="F916" s="8">
        <f>IF(A916="","",SUMPRODUCT((Eingabe!$B$16:$B$165&lt;&gt;"")*(Eingabe!$J$16:$J$165)*--(A916&gt;=Eingabe!$G$16:$G$165)*--(A916&lt;=Eingabe!$H$16:$H$165)*--(WEEKDAY(A916,2)&lt;=5)))</f>
        <v/>
      </c>
      <c r="G916" s="8">
        <f>IF(A916="","",SUM($F$2:F916))</f>
        <v/>
      </c>
      <c r="H916" s="8">
        <f>IF(A916="","",Eingabe!$B$7-G916)</f>
        <v/>
      </c>
      <c r="I916" s="8">
        <f>IF(A916="","",Eingabe!$B$8-SUMIFS($F$2:F916,$D$2:D916,D916))</f>
        <v/>
      </c>
      <c r="J916" s="8">
        <f>IF(A916="","",IF(E916="",1E+99,IFERROR(VLOOKUP(E916,Eingabe!$D$5:$E$44,2,FALSE),Eingabe!$B$9)))</f>
        <v/>
      </c>
      <c r="K916" s="8">
        <f>IF(A916="","",IF(E916="",1E+99,J916-SUMIFS($F$2:F916,$E$2:E916,E916)))</f>
        <v/>
      </c>
      <c r="L916" s="5">
        <f>IF(A916="","",IF(OR(H916&lt;0,I916&lt;0,K916&lt;0),"UNMOEGLICH","OK"))</f>
        <v/>
      </c>
    </row>
    <row r="917">
      <c r="A917" s="7">
        <f>IF(ROW()-1&lt;=Eingabe!$B$4-Eingabe!$B$3+1,Eingabe!$B$3+ROW()-2,"")</f>
        <v/>
      </c>
      <c r="B917" s="5">
        <f>IF(A917="","",TEXT(A917,"yyyy-mm-dd"))</f>
        <v/>
      </c>
      <c r="C917" s="5">
        <f>IF(A917="","",TEXT(A917,"ddd"))</f>
        <v/>
      </c>
      <c r="D917" s="5">
        <f>IF(A917="","",TEXT(A917,"yyyy-mm"))</f>
        <v/>
      </c>
      <c r="E917" s="5">
        <f>IF(A917="","",IF(A917&lt;Eingabe!$B$5,"",INT((A917-Eingabe!$B$5)/(Eingabe!$B$6*7))+1))</f>
        <v/>
      </c>
      <c r="F917" s="8">
        <f>IF(A917="","",SUMPRODUCT((Eingabe!$B$16:$B$165&lt;&gt;"")*(Eingabe!$J$16:$J$165)*--(A917&gt;=Eingabe!$G$16:$G$165)*--(A917&lt;=Eingabe!$H$16:$H$165)*--(WEEKDAY(A917,2)&lt;=5)))</f>
        <v/>
      </c>
      <c r="G917" s="8">
        <f>IF(A917="","",SUM($F$2:F917))</f>
        <v/>
      </c>
      <c r="H917" s="8">
        <f>IF(A917="","",Eingabe!$B$7-G917)</f>
        <v/>
      </c>
      <c r="I917" s="8">
        <f>IF(A917="","",Eingabe!$B$8-SUMIFS($F$2:F917,$D$2:D917,D917))</f>
        <v/>
      </c>
      <c r="J917" s="8">
        <f>IF(A917="","",IF(E917="",1E+99,IFERROR(VLOOKUP(E917,Eingabe!$D$5:$E$44,2,FALSE),Eingabe!$B$9)))</f>
        <v/>
      </c>
      <c r="K917" s="8">
        <f>IF(A917="","",IF(E917="",1E+99,J917-SUMIFS($F$2:F917,$E$2:E917,E917)))</f>
        <v/>
      </c>
      <c r="L917" s="5">
        <f>IF(A917="","",IF(OR(H917&lt;0,I917&lt;0,K917&lt;0),"UNMOEGLICH","OK"))</f>
        <v/>
      </c>
    </row>
    <row r="918">
      <c r="A918" s="7">
        <f>IF(ROW()-1&lt;=Eingabe!$B$4-Eingabe!$B$3+1,Eingabe!$B$3+ROW()-2,"")</f>
        <v/>
      </c>
      <c r="B918" s="5">
        <f>IF(A918="","",TEXT(A918,"yyyy-mm-dd"))</f>
        <v/>
      </c>
      <c r="C918" s="5">
        <f>IF(A918="","",TEXT(A918,"ddd"))</f>
        <v/>
      </c>
      <c r="D918" s="5">
        <f>IF(A918="","",TEXT(A918,"yyyy-mm"))</f>
        <v/>
      </c>
      <c r="E918" s="5">
        <f>IF(A918="","",IF(A918&lt;Eingabe!$B$5,"",INT((A918-Eingabe!$B$5)/(Eingabe!$B$6*7))+1))</f>
        <v/>
      </c>
      <c r="F918" s="8">
        <f>IF(A918="","",SUMPRODUCT((Eingabe!$B$16:$B$165&lt;&gt;"")*(Eingabe!$J$16:$J$165)*--(A918&gt;=Eingabe!$G$16:$G$165)*--(A918&lt;=Eingabe!$H$16:$H$165)*--(WEEKDAY(A918,2)&lt;=5)))</f>
        <v/>
      </c>
      <c r="G918" s="8">
        <f>IF(A918="","",SUM($F$2:F918))</f>
        <v/>
      </c>
      <c r="H918" s="8">
        <f>IF(A918="","",Eingabe!$B$7-G918)</f>
        <v/>
      </c>
      <c r="I918" s="8">
        <f>IF(A918="","",Eingabe!$B$8-SUMIFS($F$2:F918,$D$2:D918,D918))</f>
        <v/>
      </c>
      <c r="J918" s="8">
        <f>IF(A918="","",IF(E918="",1E+99,IFERROR(VLOOKUP(E918,Eingabe!$D$5:$E$44,2,FALSE),Eingabe!$B$9)))</f>
        <v/>
      </c>
      <c r="K918" s="8">
        <f>IF(A918="","",IF(E918="",1E+99,J918-SUMIFS($F$2:F918,$E$2:E918,E918)))</f>
        <v/>
      </c>
      <c r="L918" s="5">
        <f>IF(A918="","",IF(OR(H918&lt;0,I918&lt;0,K918&lt;0),"UNMOEGLICH","OK"))</f>
        <v/>
      </c>
    </row>
    <row r="919">
      <c r="A919" s="7">
        <f>IF(ROW()-1&lt;=Eingabe!$B$4-Eingabe!$B$3+1,Eingabe!$B$3+ROW()-2,"")</f>
        <v/>
      </c>
      <c r="B919" s="5">
        <f>IF(A919="","",TEXT(A919,"yyyy-mm-dd"))</f>
        <v/>
      </c>
      <c r="C919" s="5">
        <f>IF(A919="","",TEXT(A919,"ddd"))</f>
        <v/>
      </c>
      <c r="D919" s="5">
        <f>IF(A919="","",TEXT(A919,"yyyy-mm"))</f>
        <v/>
      </c>
      <c r="E919" s="5">
        <f>IF(A919="","",IF(A919&lt;Eingabe!$B$5,"",INT((A919-Eingabe!$B$5)/(Eingabe!$B$6*7))+1))</f>
        <v/>
      </c>
      <c r="F919" s="8">
        <f>IF(A919="","",SUMPRODUCT((Eingabe!$B$16:$B$165&lt;&gt;"")*(Eingabe!$J$16:$J$165)*--(A919&gt;=Eingabe!$G$16:$G$165)*--(A919&lt;=Eingabe!$H$16:$H$165)*--(WEEKDAY(A919,2)&lt;=5)))</f>
        <v/>
      </c>
      <c r="G919" s="8">
        <f>IF(A919="","",SUM($F$2:F919))</f>
        <v/>
      </c>
      <c r="H919" s="8">
        <f>IF(A919="","",Eingabe!$B$7-G919)</f>
        <v/>
      </c>
      <c r="I919" s="8">
        <f>IF(A919="","",Eingabe!$B$8-SUMIFS($F$2:F919,$D$2:D919,D919))</f>
        <v/>
      </c>
      <c r="J919" s="8">
        <f>IF(A919="","",IF(E919="",1E+99,IFERROR(VLOOKUP(E919,Eingabe!$D$5:$E$44,2,FALSE),Eingabe!$B$9)))</f>
        <v/>
      </c>
      <c r="K919" s="8">
        <f>IF(A919="","",IF(E919="",1E+99,J919-SUMIFS($F$2:F919,$E$2:E919,E919)))</f>
        <v/>
      </c>
      <c r="L919" s="5">
        <f>IF(A919="","",IF(OR(H919&lt;0,I919&lt;0,K919&lt;0),"UNMOEGLICH","OK"))</f>
        <v/>
      </c>
    </row>
    <row r="920">
      <c r="A920" s="7">
        <f>IF(ROW()-1&lt;=Eingabe!$B$4-Eingabe!$B$3+1,Eingabe!$B$3+ROW()-2,"")</f>
        <v/>
      </c>
      <c r="B920" s="5">
        <f>IF(A920="","",TEXT(A920,"yyyy-mm-dd"))</f>
        <v/>
      </c>
      <c r="C920" s="5">
        <f>IF(A920="","",TEXT(A920,"ddd"))</f>
        <v/>
      </c>
      <c r="D920" s="5">
        <f>IF(A920="","",TEXT(A920,"yyyy-mm"))</f>
        <v/>
      </c>
      <c r="E920" s="5">
        <f>IF(A920="","",IF(A920&lt;Eingabe!$B$5,"",INT((A920-Eingabe!$B$5)/(Eingabe!$B$6*7))+1))</f>
        <v/>
      </c>
      <c r="F920" s="8">
        <f>IF(A920="","",SUMPRODUCT((Eingabe!$B$16:$B$165&lt;&gt;"")*(Eingabe!$J$16:$J$165)*--(A920&gt;=Eingabe!$G$16:$G$165)*--(A920&lt;=Eingabe!$H$16:$H$165)*--(WEEKDAY(A920,2)&lt;=5)))</f>
        <v/>
      </c>
      <c r="G920" s="8">
        <f>IF(A920="","",SUM($F$2:F920))</f>
        <v/>
      </c>
      <c r="H920" s="8">
        <f>IF(A920="","",Eingabe!$B$7-G920)</f>
        <v/>
      </c>
      <c r="I920" s="8">
        <f>IF(A920="","",Eingabe!$B$8-SUMIFS($F$2:F920,$D$2:D920,D920))</f>
        <v/>
      </c>
      <c r="J920" s="8">
        <f>IF(A920="","",IF(E920="",1E+99,IFERROR(VLOOKUP(E920,Eingabe!$D$5:$E$44,2,FALSE),Eingabe!$B$9)))</f>
        <v/>
      </c>
      <c r="K920" s="8">
        <f>IF(A920="","",IF(E920="",1E+99,J920-SUMIFS($F$2:F920,$E$2:E920,E920)))</f>
        <v/>
      </c>
      <c r="L920" s="5">
        <f>IF(A920="","",IF(OR(H920&lt;0,I920&lt;0,K920&lt;0),"UNMOEGLICH","OK"))</f>
        <v/>
      </c>
    </row>
    <row r="921">
      <c r="A921" s="7">
        <f>IF(ROW()-1&lt;=Eingabe!$B$4-Eingabe!$B$3+1,Eingabe!$B$3+ROW()-2,"")</f>
        <v/>
      </c>
      <c r="B921" s="5">
        <f>IF(A921="","",TEXT(A921,"yyyy-mm-dd"))</f>
        <v/>
      </c>
      <c r="C921" s="5">
        <f>IF(A921="","",TEXT(A921,"ddd"))</f>
        <v/>
      </c>
      <c r="D921" s="5">
        <f>IF(A921="","",TEXT(A921,"yyyy-mm"))</f>
        <v/>
      </c>
      <c r="E921" s="5">
        <f>IF(A921="","",IF(A921&lt;Eingabe!$B$5,"",INT((A921-Eingabe!$B$5)/(Eingabe!$B$6*7))+1))</f>
        <v/>
      </c>
      <c r="F921" s="8">
        <f>IF(A921="","",SUMPRODUCT((Eingabe!$B$16:$B$165&lt;&gt;"")*(Eingabe!$J$16:$J$165)*--(A921&gt;=Eingabe!$G$16:$G$165)*--(A921&lt;=Eingabe!$H$16:$H$165)*--(WEEKDAY(A921,2)&lt;=5)))</f>
        <v/>
      </c>
      <c r="G921" s="8">
        <f>IF(A921="","",SUM($F$2:F921))</f>
        <v/>
      </c>
      <c r="H921" s="8">
        <f>IF(A921="","",Eingabe!$B$7-G921)</f>
        <v/>
      </c>
      <c r="I921" s="8">
        <f>IF(A921="","",Eingabe!$B$8-SUMIFS($F$2:F921,$D$2:D921,D921))</f>
        <v/>
      </c>
      <c r="J921" s="8">
        <f>IF(A921="","",IF(E921="",1E+99,IFERROR(VLOOKUP(E921,Eingabe!$D$5:$E$44,2,FALSE),Eingabe!$B$9)))</f>
        <v/>
      </c>
      <c r="K921" s="8">
        <f>IF(A921="","",IF(E921="",1E+99,J921-SUMIFS($F$2:F921,$E$2:E921,E921)))</f>
        <v/>
      </c>
      <c r="L921" s="5">
        <f>IF(A921="","",IF(OR(H921&lt;0,I921&lt;0,K921&lt;0),"UNMOEGLICH","OK"))</f>
        <v/>
      </c>
    </row>
    <row r="922">
      <c r="A922" s="7">
        <f>IF(ROW()-1&lt;=Eingabe!$B$4-Eingabe!$B$3+1,Eingabe!$B$3+ROW()-2,"")</f>
        <v/>
      </c>
      <c r="B922" s="5">
        <f>IF(A922="","",TEXT(A922,"yyyy-mm-dd"))</f>
        <v/>
      </c>
      <c r="C922" s="5">
        <f>IF(A922="","",TEXT(A922,"ddd"))</f>
        <v/>
      </c>
      <c r="D922" s="5">
        <f>IF(A922="","",TEXT(A922,"yyyy-mm"))</f>
        <v/>
      </c>
      <c r="E922" s="5">
        <f>IF(A922="","",IF(A922&lt;Eingabe!$B$5,"",INT((A922-Eingabe!$B$5)/(Eingabe!$B$6*7))+1))</f>
        <v/>
      </c>
      <c r="F922" s="8">
        <f>IF(A922="","",SUMPRODUCT((Eingabe!$B$16:$B$165&lt;&gt;"")*(Eingabe!$J$16:$J$165)*--(A922&gt;=Eingabe!$G$16:$G$165)*--(A922&lt;=Eingabe!$H$16:$H$165)*--(WEEKDAY(A922,2)&lt;=5)))</f>
        <v/>
      </c>
      <c r="G922" s="8">
        <f>IF(A922="","",SUM($F$2:F922))</f>
        <v/>
      </c>
      <c r="H922" s="8">
        <f>IF(A922="","",Eingabe!$B$7-G922)</f>
        <v/>
      </c>
      <c r="I922" s="8">
        <f>IF(A922="","",Eingabe!$B$8-SUMIFS($F$2:F922,$D$2:D922,D922))</f>
        <v/>
      </c>
      <c r="J922" s="8">
        <f>IF(A922="","",IF(E922="",1E+99,IFERROR(VLOOKUP(E922,Eingabe!$D$5:$E$44,2,FALSE),Eingabe!$B$9)))</f>
        <v/>
      </c>
      <c r="K922" s="8">
        <f>IF(A922="","",IF(E922="",1E+99,J922-SUMIFS($F$2:F922,$E$2:E922,E922)))</f>
        <v/>
      </c>
      <c r="L922" s="5">
        <f>IF(A922="","",IF(OR(H922&lt;0,I922&lt;0,K922&lt;0),"UNMOEGLICH","OK"))</f>
        <v/>
      </c>
    </row>
    <row r="923">
      <c r="A923" s="7">
        <f>IF(ROW()-1&lt;=Eingabe!$B$4-Eingabe!$B$3+1,Eingabe!$B$3+ROW()-2,"")</f>
        <v/>
      </c>
      <c r="B923" s="5">
        <f>IF(A923="","",TEXT(A923,"yyyy-mm-dd"))</f>
        <v/>
      </c>
      <c r="C923" s="5">
        <f>IF(A923="","",TEXT(A923,"ddd"))</f>
        <v/>
      </c>
      <c r="D923" s="5">
        <f>IF(A923="","",TEXT(A923,"yyyy-mm"))</f>
        <v/>
      </c>
      <c r="E923" s="5">
        <f>IF(A923="","",IF(A923&lt;Eingabe!$B$5,"",INT((A923-Eingabe!$B$5)/(Eingabe!$B$6*7))+1))</f>
        <v/>
      </c>
      <c r="F923" s="8">
        <f>IF(A923="","",SUMPRODUCT((Eingabe!$B$16:$B$165&lt;&gt;"")*(Eingabe!$J$16:$J$165)*--(A923&gt;=Eingabe!$G$16:$G$165)*--(A923&lt;=Eingabe!$H$16:$H$165)*--(WEEKDAY(A923,2)&lt;=5)))</f>
        <v/>
      </c>
      <c r="G923" s="8">
        <f>IF(A923="","",SUM($F$2:F923))</f>
        <v/>
      </c>
      <c r="H923" s="8">
        <f>IF(A923="","",Eingabe!$B$7-G923)</f>
        <v/>
      </c>
      <c r="I923" s="8">
        <f>IF(A923="","",Eingabe!$B$8-SUMIFS($F$2:F923,$D$2:D923,D923))</f>
        <v/>
      </c>
      <c r="J923" s="8">
        <f>IF(A923="","",IF(E923="",1E+99,IFERROR(VLOOKUP(E923,Eingabe!$D$5:$E$44,2,FALSE),Eingabe!$B$9)))</f>
        <v/>
      </c>
      <c r="K923" s="8">
        <f>IF(A923="","",IF(E923="",1E+99,J923-SUMIFS($F$2:F923,$E$2:E923,E923)))</f>
        <v/>
      </c>
      <c r="L923" s="5">
        <f>IF(A923="","",IF(OR(H923&lt;0,I923&lt;0,K923&lt;0),"UNMOEGLICH","OK"))</f>
        <v/>
      </c>
    </row>
    <row r="924">
      <c r="A924" s="7">
        <f>IF(ROW()-1&lt;=Eingabe!$B$4-Eingabe!$B$3+1,Eingabe!$B$3+ROW()-2,"")</f>
        <v/>
      </c>
      <c r="B924" s="5">
        <f>IF(A924="","",TEXT(A924,"yyyy-mm-dd"))</f>
        <v/>
      </c>
      <c r="C924" s="5">
        <f>IF(A924="","",TEXT(A924,"ddd"))</f>
        <v/>
      </c>
      <c r="D924" s="5">
        <f>IF(A924="","",TEXT(A924,"yyyy-mm"))</f>
        <v/>
      </c>
      <c r="E924" s="5">
        <f>IF(A924="","",IF(A924&lt;Eingabe!$B$5,"",INT((A924-Eingabe!$B$5)/(Eingabe!$B$6*7))+1))</f>
        <v/>
      </c>
      <c r="F924" s="8">
        <f>IF(A924="","",SUMPRODUCT((Eingabe!$B$16:$B$165&lt;&gt;"")*(Eingabe!$J$16:$J$165)*--(A924&gt;=Eingabe!$G$16:$G$165)*--(A924&lt;=Eingabe!$H$16:$H$165)*--(WEEKDAY(A924,2)&lt;=5)))</f>
        <v/>
      </c>
      <c r="G924" s="8">
        <f>IF(A924="","",SUM($F$2:F924))</f>
        <v/>
      </c>
      <c r="H924" s="8">
        <f>IF(A924="","",Eingabe!$B$7-G924)</f>
        <v/>
      </c>
      <c r="I924" s="8">
        <f>IF(A924="","",Eingabe!$B$8-SUMIFS($F$2:F924,$D$2:D924,D924))</f>
        <v/>
      </c>
      <c r="J924" s="8">
        <f>IF(A924="","",IF(E924="",1E+99,IFERROR(VLOOKUP(E924,Eingabe!$D$5:$E$44,2,FALSE),Eingabe!$B$9)))</f>
        <v/>
      </c>
      <c r="K924" s="8">
        <f>IF(A924="","",IF(E924="",1E+99,J924-SUMIFS($F$2:F924,$E$2:E924,E924)))</f>
        <v/>
      </c>
      <c r="L924" s="5">
        <f>IF(A924="","",IF(OR(H924&lt;0,I924&lt;0,K924&lt;0),"UNMOEGLICH","OK"))</f>
        <v/>
      </c>
    </row>
    <row r="925">
      <c r="A925" s="7">
        <f>IF(ROW()-1&lt;=Eingabe!$B$4-Eingabe!$B$3+1,Eingabe!$B$3+ROW()-2,"")</f>
        <v/>
      </c>
      <c r="B925" s="5">
        <f>IF(A925="","",TEXT(A925,"yyyy-mm-dd"))</f>
        <v/>
      </c>
      <c r="C925" s="5">
        <f>IF(A925="","",TEXT(A925,"ddd"))</f>
        <v/>
      </c>
      <c r="D925" s="5">
        <f>IF(A925="","",TEXT(A925,"yyyy-mm"))</f>
        <v/>
      </c>
      <c r="E925" s="5">
        <f>IF(A925="","",IF(A925&lt;Eingabe!$B$5,"",INT((A925-Eingabe!$B$5)/(Eingabe!$B$6*7))+1))</f>
        <v/>
      </c>
      <c r="F925" s="8">
        <f>IF(A925="","",SUMPRODUCT((Eingabe!$B$16:$B$165&lt;&gt;"")*(Eingabe!$J$16:$J$165)*--(A925&gt;=Eingabe!$G$16:$G$165)*--(A925&lt;=Eingabe!$H$16:$H$165)*--(WEEKDAY(A925,2)&lt;=5)))</f>
        <v/>
      </c>
      <c r="G925" s="8">
        <f>IF(A925="","",SUM($F$2:F925))</f>
        <v/>
      </c>
      <c r="H925" s="8">
        <f>IF(A925="","",Eingabe!$B$7-G925)</f>
        <v/>
      </c>
      <c r="I925" s="8">
        <f>IF(A925="","",Eingabe!$B$8-SUMIFS($F$2:F925,$D$2:D925,D925))</f>
        <v/>
      </c>
      <c r="J925" s="8">
        <f>IF(A925="","",IF(E925="",1E+99,IFERROR(VLOOKUP(E925,Eingabe!$D$5:$E$44,2,FALSE),Eingabe!$B$9)))</f>
        <v/>
      </c>
      <c r="K925" s="8">
        <f>IF(A925="","",IF(E925="",1E+99,J925-SUMIFS($F$2:F925,$E$2:E925,E925)))</f>
        <v/>
      </c>
      <c r="L925" s="5">
        <f>IF(A925="","",IF(OR(H925&lt;0,I925&lt;0,K925&lt;0),"UNMOEGLICH","OK"))</f>
        <v/>
      </c>
    </row>
    <row r="926">
      <c r="A926" s="7">
        <f>IF(ROW()-1&lt;=Eingabe!$B$4-Eingabe!$B$3+1,Eingabe!$B$3+ROW()-2,"")</f>
        <v/>
      </c>
      <c r="B926" s="5">
        <f>IF(A926="","",TEXT(A926,"yyyy-mm-dd"))</f>
        <v/>
      </c>
      <c r="C926" s="5">
        <f>IF(A926="","",TEXT(A926,"ddd"))</f>
        <v/>
      </c>
      <c r="D926" s="5">
        <f>IF(A926="","",TEXT(A926,"yyyy-mm"))</f>
        <v/>
      </c>
      <c r="E926" s="5">
        <f>IF(A926="","",IF(A926&lt;Eingabe!$B$5,"",INT((A926-Eingabe!$B$5)/(Eingabe!$B$6*7))+1))</f>
        <v/>
      </c>
      <c r="F926" s="8">
        <f>IF(A926="","",SUMPRODUCT((Eingabe!$B$16:$B$165&lt;&gt;"")*(Eingabe!$J$16:$J$165)*--(A926&gt;=Eingabe!$G$16:$G$165)*--(A926&lt;=Eingabe!$H$16:$H$165)*--(WEEKDAY(A926,2)&lt;=5)))</f>
        <v/>
      </c>
      <c r="G926" s="8">
        <f>IF(A926="","",SUM($F$2:F926))</f>
        <v/>
      </c>
      <c r="H926" s="8">
        <f>IF(A926="","",Eingabe!$B$7-G926)</f>
        <v/>
      </c>
      <c r="I926" s="8">
        <f>IF(A926="","",Eingabe!$B$8-SUMIFS($F$2:F926,$D$2:D926,D926))</f>
        <v/>
      </c>
      <c r="J926" s="8">
        <f>IF(A926="","",IF(E926="",1E+99,IFERROR(VLOOKUP(E926,Eingabe!$D$5:$E$44,2,FALSE),Eingabe!$B$9)))</f>
        <v/>
      </c>
      <c r="K926" s="8">
        <f>IF(A926="","",IF(E926="",1E+99,J926-SUMIFS($F$2:F926,$E$2:E926,E926)))</f>
        <v/>
      </c>
      <c r="L926" s="5">
        <f>IF(A926="","",IF(OR(H926&lt;0,I926&lt;0,K926&lt;0),"UNMOEGLICH","OK"))</f>
        <v/>
      </c>
    </row>
    <row r="927">
      <c r="A927" s="7">
        <f>IF(ROW()-1&lt;=Eingabe!$B$4-Eingabe!$B$3+1,Eingabe!$B$3+ROW()-2,"")</f>
        <v/>
      </c>
      <c r="B927" s="5">
        <f>IF(A927="","",TEXT(A927,"yyyy-mm-dd"))</f>
        <v/>
      </c>
      <c r="C927" s="5">
        <f>IF(A927="","",TEXT(A927,"ddd"))</f>
        <v/>
      </c>
      <c r="D927" s="5">
        <f>IF(A927="","",TEXT(A927,"yyyy-mm"))</f>
        <v/>
      </c>
      <c r="E927" s="5">
        <f>IF(A927="","",IF(A927&lt;Eingabe!$B$5,"",INT((A927-Eingabe!$B$5)/(Eingabe!$B$6*7))+1))</f>
        <v/>
      </c>
      <c r="F927" s="8">
        <f>IF(A927="","",SUMPRODUCT((Eingabe!$B$16:$B$165&lt;&gt;"")*(Eingabe!$J$16:$J$165)*--(A927&gt;=Eingabe!$G$16:$G$165)*--(A927&lt;=Eingabe!$H$16:$H$165)*--(WEEKDAY(A927,2)&lt;=5)))</f>
        <v/>
      </c>
      <c r="G927" s="8">
        <f>IF(A927="","",SUM($F$2:F927))</f>
        <v/>
      </c>
      <c r="H927" s="8">
        <f>IF(A927="","",Eingabe!$B$7-G927)</f>
        <v/>
      </c>
      <c r="I927" s="8">
        <f>IF(A927="","",Eingabe!$B$8-SUMIFS($F$2:F927,$D$2:D927,D927))</f>
        <v/>
      </c>
      <c r="J927" s="8">
        <f>IF(A927="","",IF(E927="",1E+99,IFERROR(VLOOKUP(E927,Eingabe!$D$5:$E$44,2,FALSE),Eingabe!$B$9)))</f>
        <v/>
      </c>
      <c r="K927" s="8">
        <f>IF(A927="","",IF(E927="",1E+99,J927-SUMIFS($F$2:F927,$E$2:E927,E927)))</f>
        <v/>
      </c>
      <c r="L927" s="5">
        <f>IF(A927="","",IF(OR(H927&lt;0,I927&lt;0,K927&lt;0),"UNMOEGLICH","OK"))</f>
        <v/>
      </c>
    </row>
    <row r="928">
      <c r="A928" s="7">
        <f>IF(ROW()-1&lt;=Eingabe!$B$4-Eingabe!$B$3+1,Eingabe!$B$3+ROW()-2,"")</f>
        <v/>
      </c>
      <c r="B928" s="5">
        <f>IF(A928="","",TEXT(A928,"yyyy-mm-dd"))</f>
        <v/>
      </c>
      <c r="C928" s="5">
        <f>IF(A928="","",TEXT(A928,"ddd"))</f>
        <v/>
      </c>
      <c r="D928" s="5">
        <f>IF(A928="","",TEXT(A928,"yyyy-mm"))</f>
        <v/>
      </c>
      <c r="E928" s="5">
        <f>IF(A928="","",IF(A928&lt;Eingabe!$B$5,"",INT((A928-Eingabe!$B$5)/(Eingabe!$B$6*7))+1))</f>
        <v/>
      </c>
      <c r="F928" s="8">
        <f>IF(A928="","",SUMPRODUCT((Eingabe!$B$16:$B$165&lt;&gt;"")*(Eingabe!$J$16:$J$165)*--(A928&gt;=Eingabe!$G$16:$G$165)*--(A928&lt;=Eingabe!$H$16:$H$165)*--(WEEKDAY(A928,2)&lt;=5)))</f>
        <v/>
      </c>
      <c r="G928" s="8">
        <f>IF(A928="","",SUM($F$2:F928))</f>
        <v/>
      </c>
      <c r="H928" s="8">
        <f>IF(A928="","",Eingabe!$B$7-G928)</f>
        <v/>
      </c>
      <c r="I928" s="8">
        <f>IF(A928="","",Eingabe!$B$8-SUMIFS($F$2:F928,$D$2:D928,D928))</f>
        <v/>
      </c>
      <c r="J928" s="8">
        <f>IF(A928="","",IF(E928="",1E+99,IFERROR(VLOOKUP(E928,Eingabe!$D$5:$E$44,2,FALSE),Eingabe!$B$9)))</f>
        <v/>
      </c>
      <c r="K928" s="8">
        <f>IF(A928="","",IF(E928="",1E+99,J928-SUMIFS($F$2:F928,$E$2:E928,E928)))</f>
        <v/>
      </c>
      <c r="L928" s="5">
        <f>IF(A928="","",IF(OR(H928&lt;0,I928&lt;0,K928&lt;0),"UNMOEGLICH","OK"))</f>
        <v/>
      </c>
    </row>
    <row r="929">
      <c r="A929" s="7">
        <f>IF(ROW()-1&lt;=Eingabe!$B$4-Eingabe!$B$3+1,Eingabe!$B$3+ROW()-2,"")</f>
        <v/>
      </c>
      <c r="B929" s="5">
        <f>IF(A929="","",TEXT(A929,"yyyy-mm-dd"))</f>
        <v/>
      </c>
      <c r="C929" s="5">
        <f>IF(A929="","",TEXT(A929,"ddd"))</f>
        <v/>
      </c>
      <c r="D929" s="5">
        <f>IF(A929="","",TEXT(A929,"yyyy-mm"))</f>
        <v/>
      </c>
      <c r="E929" s="5">
        <f>IF(A929="","",IF(A929&lt;Eingabe!$B$5,"",INT((A929-Eingabe!$B$5)/(Eingabe!$B$6*7))+1))</f>
        <v/>
      </c>
      <c r="F929" s="8">
        <f>IF(A929="","",SUMPRODUCT((Eingabe!$B$16:$B$165&lt;&gt;"")*(Eingabe!$J$16:$J$165)*--(A929&gt;=Eingabe!$G$16:$G$165)*--(A929&lt;=Eingabe!$H$16:$H$165)*--(WEEKDAY(A929,2)&lt;=5)))</f>
        <v/>
      </c>
      <c r="G929" s="8">
        <f>IF(A929="","",SUM($F$2:F929))</f>
        <v/>
      </c>
      <c r="H929" s="8">
        <f>IF(A929="","",Eingabe!$B$7-G929)</f>
        <v/>
      </c>
      <c r="I929" s="8">
        <f>IF(A929="","",Eingabe!$B$8-SUMIFS($F$2:F929,$D$2:D929,D929))</f>
        <v/>
      </c>
      <c r="J929" s="8">
        <f>IF(A929="","",IF(E929="",1E+99,IFERROR(VLOOKUP(E929,Eingabe!$D$5:$E$44,2,FALSE),Eingabe!$B$9)))</f>
        <v/>
      </c>
      <c r="K929" s="8">
        <f>IF(A929="","",IF(E929="",1E+99,J929-SUMIFS($F$2:F929,$E$2:E929,E929)))</f>
        <v/>
      </c>
      <c r="L929" s="5">
        <f>IF(A929="","",IF(OR(H929&lt;0,I929&lt;0,K929&lt;0),"UNMOEGLICH","OK"))</f>
        <v/>
      </c>
    </row>
    <row r="930">
      <c r="A930" s="7">
        <f>IF(ROW()-1&lt;=Eingabe!$B$4-Eingabe!$B$3+1,Eingabe!$B$3+ROW()-2,"")</f>
        <v/>
      </c>
      <c r="B930" s="5">
        <f>IF(A930="","",TEXT(A930,"yyyy-mm-dd"))</f>
        <v/>
      </c>
      <c r="C930" s="5">
        <f>IF(A930="","",TEXT(A930,"ddd"))</f>
        <v/>
      </c>
      <c r="D930" s="5">
        <f>IF(A930="","",TEXT(A930,"yyyy-mm"))</f>
        <v/>
      </c>
      <c r="E930" s="5">
        <f>IF(A930="","",IF(A930&lt;Eingabe!$B$5,"",INT((A930-Eingabe!$B$5)/(Eingabe!$B$6*7))+1))</f>
        <v/>
      </c>
      <c r="F930" s="8">
        <f>IF(A930="","",SUMPRODUCT((Eingabe!$B$16:$B$165&lt;&gt;"")*(Eingabe!$J$16:$J$165)*--(A930&gt;=Eingabe!$G$16:$G$165)*--(A930&lt;=Eingabe!$H$16:$H$165)*--(WEEKDAY(A930,2)&lt;=5)))</f>
        <v/>
      </c>
      <c r="G930" s="8">
        <f>IF(A930="","",SUM($F$2:F930))</f>
        <v/>
      </c>
      <c r="H930" s="8">
        <f>IF(A930="","",Eingabe!$B$7-G930)</f>
        <v/>
      </c>
      <c r="I930" s="8">
        <f>IF(A930="","",Eingabe!$B$8-SUMIFS($F$2:F930,$D$2:D930,D930))</f>
        <v/>
      </c>
      <c r="J930" s="8">
        <f>IF(A930="","",IF(E930="",1E+99,IFERROR(VLOOKUP(E930,Eingabe!$D$5:$E$44,2,FALSE),Eingabe!$B$9)))</f>
        <v/>
      </c>
      <c r="K930" s="8">
        <f>IF(A930="","",IF(E930="",1E+99,J930-SUMIFS($F$2:F930,$E$2:E930,E930)))</f>
        <v/>
      </c>
      <c r="L930" s="5">
        <f>IF(A930="","",IF(OR(H930&lt;0,I930&lt;0,K930&lt;0),"UNMOEGLICH","OK"))</f>
        <v/>
      </c>
    </row>
    <row r="931">
      <c r="A931" s="7">
        <f>IF(ROW()-1&lt;=Eingabe!$B$4-Eingabe!$B$3+1,Eingabe!$B$3+ROW()-2,"")</f>
        <v/>
      </c>
      <c r="B931" s="5">
        <f>IF(A931="","",TEXT(A931,"yyyy-mm-dd"))</f>
        <v/>
      </c>
      <c r="C931" s="5">
        <f>IF(A931="","",TEXT(A931,"ddd"))</f>
        <v/>
      </c>
      <c r="D931" s="5">
        <f>IF(A931="","",TEXT(A931,"yyyy-mm"))</f>
        <v/>
      </c>
      <c r="E931" s="5">
        <f>IF(A931="","",IF(A931&lt;Eingabe!$B$5,"",INT((A931-Eingabe!$B$5)/(Eingabe!$B$6*7))+1))</f>
        <v/>
      </c>
      <c r="F931" s="8">
        <f>IF(A931="","",SUMPRODUCT((Eingabe!$B$16:$B$165&lt;&gt;"")*(Eingabe!$J$16:$J$165)*--(A931&gt;=Eingabe!$G$16:$G$165)*--(A931&lt;=Eingabe!$H$16:$H$165)*--(WEEKDAY(A931,2)&lt;=5)))</f>
        <v/>
      </c>
      <c r="G931" s="8">
        <f>IF(A931="","",SUM($F$2:F931))</f>
        <v/>
      </c>
      <c r="H931" s="8">
        <f>IF(A931="","",Eingabe!$B$7-G931)</f>
        <v/>
      </c>
      <c r="I931" s="8">
        <f>IF(A931="","",Eingabe!$B$8-SUMIFS($F$2:F931,$D$2:D931,D931))</f>
        <v/>
      </c>
      <c r="J931" s="8">
        <f>IF(A931="","",IF(E931="",1E+99,IFERROR(VLOOKUP(E931,Eingabe!$D$5:$E$44,2,FALSE),Eingabe!$B$9)))</f>
        <v/>
      </c>
      <c r="K931" s="8">
        <f>IF(A931="","",IF(E931="",1E+99,J931-SUMIFS($F$2:F931,$E$2:E931,E931)))</f>
        <v/>
      </c>
      <c r="L931" s="5">
        <f>IF(A931="","",IF(OR(H931&lt;0,I931&lt;0,K931&lt;0),"UNMOEGLICH","OK"))</f>
        <v/>
      </c>
    </row>
    <row r="932">
      <c r="A932" s="7">
        <f>IF(ROW()-1&lt;=Eingabe!$B$4-Eingabe!$B$3+1,Eingabe!$B$3+ROW()-2,"")</f>
        <v/>
      </c>
      <c r="B932" s="5">
        <f>IF(A932="","",TEXT(A932,"yyyy-mm-dd"))</f>
        <v/>
      </c>
      <c r="C932" s="5">
        <f>IF(A932="","",TEXT(A932,"ddd"))</f>
        <v/>
      </c>
      <c r="D932" s="5">
        <f>IF(A932="","",TEXT(A932,"yyyy-mm"))</f>
        <v/>
      </c>
      <c r="E932" s="5">
        <f>IF(A932="","",IF(A932&lt;Eingabe!$B$5,"",INT((A932-Eingabe!$B$5)/(Eingabe!$B$6*7))+1))</f>
        <v/>
      </c>
      <c r="F932" s="8">
        <f>IF(A932="","",SUMPRODUCT((Eingabe!$B$16:$B$165&lt;&gt;"")*(Eingabe!$J$16:$J$165)*--(A932&gt;=Eingabe!$G$16:$G$165)*--(A932&lt;=Eingabe!$H$16:$H$165)*--(WEEKDAY(A932,2)&lt;=5)))</f>
        <v/>
      </c>
      <c r="G932" s="8">
        <f>IF(A932="","",SUM($F$2:F932))</f>
        <v/>
      </c>
      <c r="H932" s="8">
        <f>IF(A932="","",Eingabe!$B$7-G932)</f>
        <v/>
      </c>
      <c r="I932" s="8">
        <f>IF(A932="","",Eingabe!$B$8-SUMIFS($F$2:F932,$D$2:D932,D932))</f>
        <v/>
      </c>
      <c r="J932" s="8">
        <f>IF(A932="","",IF(E932="",1E+99,IFERROR(VLOOKUP(E932,Eingabe!$D$5:$E$44,2,FALSE),Eingabe!$B$9)))</f>
        <v/>
      </c>
      <c r="K932" s="8">
        <f>IF(A932="","",IF(E932="",1E+99,J932-SUMIFS($F$2:F932,$E$2:E932,E932)))</f>
        <v/>
      </c>
      <c r="L932" s="5">
        <f>IF(A932="","",IF(OR(H932&lt;0,I932&lt;0,K932&lt;0),"UNMOEGLICH","OK"))</f>
        <v/>
      </c>
    </row>
    <row r="933">
      <c r="A933" s="7">
        <f>IF(ROW()-1&lt;=Eingabe!$B$4-Eingabe!$B$3+1,Eingabe!$B$3+ROW()-2,"")</f>
        <v/>
      </c>
      <c r="B933" s="5">
        <f>IF(A933="","",TEXT(A933,"yyyy-mm-dd"))</f>
        <v/>
      </c>
      <c r="C933" s="5">
        <f>IF(A933="","",TEXT(A933,"ddd"))</f>
        <v/>
      </c>
      <c r="D933" s="5">
        <f>IF(A933="","",TEXT(A933,"yyyy-mm"))</f>
        <v/>
      </c>
      <c r="E933" s="5">
        <f>IF(A933="","",IF(A933&lt;Eingabe!$B$5,"",INT((A933-Eingabe!$B$5)/(Eingabe!$B$6*7))+1))</f>
        <v/>
      </c>
      <c r="F933" s="8">
        <f>IF(A933="","",SUMPRODUCT((Eingabe!$B$16:$B$165&lt;&gt;"")*(Eingabe!$J$16:$J$165)*--(A933&gt;=Eingabe!$G$16:$G$165)*--(A933&lt;=Eingabe!$H$16:$H$165)*--(WEEKDAY(A933,2)&lt;=5)))</f>
        <v/>
      </c>
      <c r="G933" s="8">
        <f>IF(A933="","",SUM($F$2:F933))</f>
        <v/>
      </c>
      <c r="H933" s="8">
        <f>IF(A933="","",Eingabe!$B$7-G933)</f>
        <v/>
      </c>
      <c r="I933" s="8">
        <f>IF(A933="","",Eingabe!$B$8-SUMIFS($F$2:F933,$D$2:D933,D933))</f>
        <v/>
      </c>
      <c r="J933" s="8">
        <f>IF(A933="","",IF(E933="",1E+99,IFERROR(VLOOKUP(E933,Eingabe!$D$5:$E$44,2,FALSE),Eingabe!$B$9)))</f>
        <v/>
      </c>
      <c r="K933" s="8">
        <f>IF(A933="","",IF(E933="",1E+99,J933-SUMIFS($F$2:F933,$E$2:E933,E933)))</f>
        <v/>
      </c>
      <c r="L933" s="5">
        <f>IF(A933="","",IF(OR(H933&lt;0,I933&lt;0,K933&lt;0),"UNMOEGLICH","OK"))</f>
        <v/>
      </c>
    </row>
    <row r="934">
      <c r="A934" s="7">
        <f>IF(ROW()-1&lt;=Eingabe!$B$4-Eingabe!$B$3+1,Eingabe!$B$3+ROW()-2,"")</f>
        <v/>
      </c>
      <c r="B934" s="5">
        <f>IF(A934="","",TEXT(A934,"yyyy-mm-dd"))</f>
        <v/>
      </c>
      <c r="C934" s="5">
        <f>IF(A934="","",TEXT(A934,"ddd"))</f>
        <v/>
      </c>
      <c r="D934" s="5">
        <f>IF(A934="","",TEXT(A934,"yyyy-mm"))</f>
        <v/>
      </c>
      <c r="E934" s="5">
        <f>IF(A934="","",IF(A934&lt;Eingabe!$B$5,"",INT((A934-Eingabe!$B$5)/(Eingabe!$B$6*7))+1))</f>
        <v/>
      </c>
      <c r="F934" s="8">
        <f>IF(A934="","",SUMPRODUCT((Eingabe!$B$16:$B$165&lt;&gt;"")*(Eingabe!$J$16:$J$165)*--(A934&gt;=Eingabe!$G$16:$G$165)*--(A934&lt;=Eingabe!$H$16:$H$165)*--(WEEKDAY(A934,2)&lt;=5)))</f>
        <v/>
      </c>
      <c r="G934" s="8">
        <f>IF(A934="","",SUM($F$2:F934))</f>
        <v/>
      </c>
      <c r="H934" s="8">
        <f>IF(A934="","",Eingabe!$B$7-G934)</f>
        <v/>
      </c>
      <c r="I934" s="8">
        <f>IF(A934="","",Eingabe!$B$8-SUMIFS($F$2:F934,$D$2:D934,D934))</f>
        <v/>
      </c>
      <c r="J934" s="8">
        <f>IF(A934="","",IF(E934="",1E+99,IFERROR(VLOOKUP(E934,Eingabe!$D$5:$E$44,2,FALSE),Eingabe!$B$9)))</f>
        <v/>
      </c>
      <c r="K934" s="8">
        <f>IF(A934="","",IF(E934="",1E+99,J934-SUMIFS($F$2:F934,$E$2:E934,E934)))</f>
        <v/>
      </c>
      <c r="L934" s="5">
        <f>IF(A934="","",IF(OR(H934&lt;0,I934&lt;0,K934&lt;0),"UNMOEGLICH","OK"))</f>
        <v/>
      </c>
    </row>
    <row r="935">
      <c r="A935" s="7">
        <f>IF(ROW()-1&lt;=Eingabe!$B$4-Eingabe!$B$3+1,Eingabe!$B$3+ROW()-2,"")</f>
        <v/>
      </c>
      <c r="B935" s="5">
        <f>IF(A935="","",TEXT(A935,"yyyy-mm-dd"))</f>
        <v/>
      </c>
      <c r="C935" s="5">
        <f>IF(A935="","",TEXT(A935,"ddd"))</f>
        <v/>
      </c>
      <c r="D935" s="5">
        <f>IF(A935="","",TEXT(A935,"yyyy-mm"))</f>
        <v/>
      </c>
      <c r="E935" s="5">
        <f>IF(A935="","",IF(A935&lt;Eingabe!$B$5,"",INT((A935-Eingabe!$B$5)/(Eingabe!$B$6*7))+1))</f>
        <v/>
      </c>
      <c r="F935" s="8">
        <f>IF(A935="","",SUMPRODUCT((Eingabe!$B$16:$B$165&lt;&gt;"")*(Eingabe!$J$16:$J$165)*--(A935&gt;=Eingabe!$G$16:$G$165)*--(A935&lt;=Eingabe!$H$16:$H$165)*--(WEEKDAY(A935,2)&lt;=5)))</f>
        <v/>
      </c>
      <c r="G935" s="8">
        <f>IF(A935="","",SUM($F$2:F935))</f>
        <v/>
      </c>
      <c r="H935" s="8">
        <f>IF(A935="","",Eingabe!$B$7-G935)</f>
        <v/>
      </c>
      <c r="I935" s="8">
        <f>IF(A935="","",Eingabe!$B$8-SUMIFS($F$2:F935,$D$2:D935,D935))</f>
        <v/>
      </c>
      <c r="J935" s="8">
        <f>IF(A935="","",IF(E935="",1E+99,IFERROR(VLOOKUP(E935,Eingabe!$D$5:$E$44,2,FALSE),Eingabe!$B$9)))</f>
        <v/>
      </c>
      <c r="K935" s="8">
        <f>IF(A935="","",IF(E935="",1E+99,J935-SUMIFS($F$2:F935,$E$2:E935,E935)))</f>
        <v/>
      </c>
      <c r="L935" s="5">
        <f>IF(A935="","",IF(OR(H935&lt;0,I935&lt;0,K935&lt;0),"UNMOEGLICH","OK"))</f>
        <v/>
      </c>
    </row>
    <row r="936">
      <c r="A936" s="7">
        <f>IF(ROW()-1&lt;=Eingabe!$B$4-Eingabe!$B$3+1,Eingabe!$B$3+ROW()-2,"")</f>
        <v/>
      </c>
      <c r="B936" s="5">
        <f>IF(A936="","",TEXT(A936,"yyyy-mm-dd"))</f>
        <v/>
      </c>
      <c r="C936" s="5">
        <f>IF(A936="","",TEXT(A936,"ddd"))</f>
        <v/>
      </c>
      <c r="D936" s="5">
        <f>IF(A936="","",TEXT(A936,"yyyy-mm"))</f>
        <v/>
      </c>
      <c r="E936" s="5">
        <f>IF(A936="","",IF(A936&lt;Eingabe!$B$5,"",INT((A936-Eingabe!$B$5)/(Eingabe!$B$6*7))+1))</f>
        <v/>
      </c>
      <c r="F936" s="8">
        <f>IF(A936="","",SUMPRODUCT((Eingabe!$B$16:$B$165&lt;&gt;"")*(Eingabe!$J$16:$J$165)*--(A936&gt;=Eingabe!$G$16:$G$165)*--(A936&lt;=Eingabe!$H$16:$H$165)*--(WEEKDAY(A936,2)&lt;=5)))</f>
        <v/>
      </c>
      <c r="G936" s="8">
        <f>IF(A936="","",SUM($F$2:F936))</f>
        <v/>
      </c>
      <c r="H936" s="8">
        <f>IF(A936="","",Eingabe!$B$7-G936)</f>
        <v/>
      </c>
      <c r="I936" s="8">
        <f>IF(A936="","",Eingabe!$B$8-SUMIFS($F$2:F936,$D$2:D936,D936))</f>
        <v/>
      </c>
      <c r="J936" s="8">
        <f>IF(A936="","",IF(E936="",1E+99,IFERROR(VLOOKUP(E936,Eingabe!$D$5:$E$44,2,FALSE),Eingabe!$B$9)))</f>
        <v/>
      </c>
      <c r="K936" s="8">
        <f>IF(A936="","",IF(E936="",1E+99,J936-SUMIFS($F$2:F936,$E$2:E936,E936)))</f>
        <v/>
      </c>
      <c r="L936" s="5">
        <f>IF(A936="","",IF(OR(H936&lt;0,I936&lt;0,K936&lt;0),"UNMOEGLICH","OK"))</f>
        <v/>
      </c>
    </row>
    <row r="937">
      <c r="A937" s="7">
        <f>IF(ROW()-1&lt;=Eingabe!$B$4-Eingabe!$B$3+1,Eingabe!$B$3+ROW()-2,"")</f>
        <v/>
      </c>
      <c r="B937" s="5">
        <f>IF(A937="","",TEXT(A937,"yyyy-mm-dd"))</f>
        <v/>
      </c>
      <c r="C937" s="5">
        <f>IF(A937="","",TEXT(A937,"ddd"))</f>
        <v/>
      </c>
      <c r="D937" s="5">
        <f>IF(A937="","",TEXT(A937,"yyyy-mm"))</f>
        <v/>
      </c>
      <c r="E937" s="5">
        <f>IF(A937="","",IF(A937&lt;Eingabe!$B$5,"",INT((A937-Eingabe!$B$5)/(Eingabe!$B$6*7))+1))</f>
        <v/>
      </c>
      <c r="F937" s="8">
        <f>IF(A937="","",SUMPRODUCT((Eingabe!$B$16:$B$165&lt;&gt;"")*(Eingabe!$J$16:$J$165)*--(A937&gt;=Eingabe!$G$16:$G$165)*--(A937&lt;=Eingabe!$H$16:$H$165)*--(WEEKDAY(A937,2)&lt;=5)))</f>
        <v/>
      </c>
      <c r="G937" s="8">
        <f>IF(A937="","",SUM($F$2:F937))</f>
        <v/>
      </c>
      <c r="H937" s="8">
        <f>IF(A937="","",Eingabe!$B$7-G937)</f>
        <v/>
      </c>
      <c r="I937" s="8">
        <f>IF(A937="","",Eingabe!$B$8-SUMIFS($F$2:F937,$D$2:D937,D937))</f>
        <v/>
      </c>
      <c r="J937" s="8">
        <f>IF(A937="","",IF(E937="",1E+99,IFERROR(VLOOKUP(E937,Eingabe!$D$5:$E$44,2,FALSE),Eingabe!$B$9)))</f>
        <v/>
      </c>
      <c r="K937" s="8">
        <f>IF(A937="","",IF(E937="",1E+99,J937-SUMIFS($F$2:F937,$E$2:E937,E937)))</f>
        <v/>
      </c>
      <c r="L937" s="5">
        <f>IF(A937="","",IF(OR(H937&lt;0,I937&lt;0,K937&lt;0),"UNMOEGLICH","OK"))</f>
        <v/>
      </c>
    </row>
    <row r="938">
      <c r="A938" s="7">
        <f>IF(ROW()-1&lt;=Eingabe!$B$4-Eingabe!$B$3+1,Eingabe!$B$3+ROW()-2,"")</f>
        <v/>
      </c>
      <c r="B938" s="5">
        <f>IF(A938="","",TEXT(A938,"yyyy-mm-dd"))</f>
        <v/>
      </c>
      <c r="C938" s="5">
        <f>IF(A938="","",TEXT(A938,"ddd"))</f>
        <v/>
      </c>
      <c r="D938" s="5">
        <f>IF(A938="","",TEXT(A938,"yyyy-mm"))</f>
        <v/>
      </c>
      <c r="E938" s="5">
        <f>IF(A938="","",IF(A938&lt;Eingabe!$B$5,"",INT((A938-Eingabe!$B$5)/(Eingabe!$B$6*7))+1))</f>
        <v/>
      </c>
      <c r="F938" s="8">
        <f>IF(A938="","",SUMPRODUCT((Eingabe!$B$16:$B$165&lt;&gt;"")*(Eingabe!$J$16:$J$165)*--(A938&gt;=Eingabe!$G$16:$G$165)*--(A938&lt;=Eingabe!$H$16:$H$165)*--(WEEKDAY(A938,2)&lt;=5)))</f>
        <v/>
      </c>
      <c r="G938" s="8">
        <f>IF(A938="","",SUM($F$2:F938))</f>
        <v/>
      </c>
      <c r="H938" s="8">
        <f>IF(A938="","",Eingabe!$B$7-G938)</f>
        <v/>
      </c>
      <c r="I938" s="8">
        <f>IF(A938="","",Eingabe!$B$8-SUMIFS($F$2:F938,$D$2:D938,D938))</f>
        <v/>
      </c>
      <c r="J938" s="8">
        <f>IF(A938="","",IF(E938="",1E+99,IFERROR(VLOOKUP(E938,Eingabe!$D$5:$E$44,2,FALSE),Eingabe!$B$9)))</f>
        <v/>
      </c>
      <c r="K938" s="8">
        <f>IF(A938="","",IF(E938="",1E+99,J938-SUMIFS($F$2:F938,$E$2:E938,E938)))</f>
        <v/>
      </c>
      <c r="L938" s="5">
        <f>IF(A938="","",IF(OR(H938&lt;0,I938&lt;0,K938&lt;0),"UNMOEGLICH","OK"))</f>
        <v/>
      </c>
    </row>
    <row r="939">
      <c r="A939" s="7">
        <f>IF(ROW()-1&lt;=Eingabe!$B$4-Eingabe!$B$3+1,Eingabe!$B$3+ROW()-2,"")</f>
        <v/>
      </c>
      <c r="B939" s="5">
        <f>IF(A939="","",TEXT(A939,"yyyy-mm-dd"))</f>
        <v/>
      </c>
      <c r="C939" s="5">
        <f>IF(A939="","",TEXT(A939,"ddd"))</f>
        <v/>
      </c>
      <c r="D939" s="5">
        <f>IF(A939="","",TEXT(A939,"yyyy-mm"))</f>
        <v/>
      </c>
      <c r="E939" s="5">
        <f>IF(A939="","",IF(A939&lt;Eingabe!$B$5,"",INT((A939-Eingabe!$B$5)/(Eingabe!$B$6*7))+1))</f>
        <v/>
      </c>
      <c r="F939" s="8">
        <f>IF(A939="","",SUMPRODUCT((Eingabe!$B$16:$B$165&lt;&gt;"")*(Eingabe!$J$16:$J$165)*--(A939&gt;=Eingabe!$G$16:$G$165)*--(A939&lt;=Eingabe!$H$16:$H$165)*--(WEEKDAY(A939,2)&lt;=5)))</f>
        <v/>
      </c>
      <c r="G939" s="8">
        <f>IF(A939="","",SUM($F$2:F939))</f>
        <v/>
      </c>
      <c r="H939" s="8">
        <f>IF(A939="","",Eingabe!$B$7-G939)</f>
        <v/>
      </c>
      <c r="I939" s="8">
        <f>IF(A939="","",Eingabe!$B$8-SUMIFS($F$2:F939,$D$2:D939,D939))</f>
        <v/>
      </c>
      <c r="J939" s="8">
        <f>IF(A939="","",IF(E939="",1E+99,IFERROR(VLOOKUP(E939,Eingabe!$D$5:$E$44,2,FALSE),Eingabe!$B$9)))</f>
        <v/>
      </c>
      <c r="K939" s="8">
        <f>IF(A939="","",IF(E939="",1E+99,J939-SUMIFS($F$2:F939,$E$2:E939,E939)))</f>
        <v/>
      </c>
      <c r="L939" s="5">
        <f>IF(A939="","",IF(OR(H939&lt;0,I939&lt;0,K939&lt;0),"UNMOEGLICH","OK"))</f>
        <v/>
      </c>
    </row>
    <row r="940">
      <c r="A940" s="7">
        <f>IF(ROW()-1&lt;=Eingabe!$B$4-Eingabe!$B$3+1,Eingabe!$B$3+ROW()-2,"")</f>
        <v/>
      </c>
      <c r="B940" s="5">
        <f>IF(A940="","",TEXT(A940,"yyyy-mm-dd"))</f>
        <v/>
      </c>
      <c r="C940" s="5">
        <f>IF(A940="","",TEXT(A940,"ddd"))</f>
        <v/>
      </c>
      <c r="D940" s="5">
        <f>IF(A940="","",TEXT(A940,"yyyy-mm"))</f>
        <v/>
      </c>
      <c r="E940" s="5">
        <f>IF(A940="","",IF(A940&lt;Eingabe!$B$5,"",INT((A940-Eingabe!$B$5)/(Eingabe!$B$6*7))+1))</f>
        <v/>
      </c>
      <c r="F940" s="8">
        <f>IF(A940="","",SUMPRODUCT((Eingabe!$B$16:$B$165&lt;&gt;"")*(Eingabe!$J$16:$J$165)*--(A940&gt;=Eingabe!$G$16:$G$165)*--(A940&lt;=Eingabe!$H$16:$H$165)*--(WEEKDAY(A940,2)&lt;=5)))</f>
        <v/>
      </c>
      <c r="G940" s="8">
        <f>IF(A940="","",SUM($F$2:F940))</f>
        <v/>
      </c>
      <c r="H940" s="8">
        <f>IF(A940="","",Eingabe!$B$7-G940)</f>
        <v/>
      </c>
      <c r="I940" s="8">
        <f>IF(A940="","",Eingabe!$B$8-SUMIFS($F$2:F940,$D$2:D940,D940))</f>
        <v/>
      </c>
      <c r="J940" s="8">
        <f>IF(A940="","",IF(E940="",1E+99,IFERROR(VLOOKUP(E940,Eingabe!$D$5:$E$44,2,FALSE),Eingabe!$B$9)))</f>
        <v/>
      </c>
      <c r="K940" s="8">
        <f>IF(A940="","",IF(E940="",1E+99,J940-SUMIFS($F$2:F940,$E$2:E940,E940)))</f>
        <v/>
      </c>
      <c r="L940" s="5">
        <f>IF(A940="","",IF(OR(H940&lt;0,I940&lt;0,K940&lt;0),"UNMOEGLICH","OK"))</f>
        <v/>
      </c>
    </row>
    <row r="941">
      <c r="A941" s="7">
        <f>IF(ROW()-1&lt;=Eingabe!$B$4-Eingabe!$B$3+1,Eingabe!$B$3+ROW()-2,"")</f>
        <v/>
      </c>
      <c r="B941" s="5">
        <f>IF(A941="","",TEXT(A941,"yyyy-mm-dd"))</f>
        <v/>
      </c>
      <c r="C941" s="5">
        <f>IF(A941="","",TEXT(A941,"ddd"))</f>
        <v/>
      </c>
      <c r="D941" s="5">
        <f>IF(A941="","",TEXT(A941,"yyyy-mm"))</f>
        <v/>
      </c>
      <c r="E941" s="5">
        <f>IF(A941="","",IF(A941&lt;Eingabe!$B$5,"",INT((A941-Eingabe!$B$5)/(Eingabe!$B$6*7))+1))</f>
        <v/>
      </c>
      <c r="F941" s="8">
        <f>IF(A941="","",SUMPRODUCT((Eingabe!$B$16:$B$165&lt;&gt;"")*(Eingabe!$J$16:$J$165)*--(A941&gt;=Eingabe!$G$16:$G$165)*--(A941&lt;=Eingabe!$H$16:$H$165)*--(WEEKDAY(A941,2)&lt;=5)))</f>
        <v/>
      </c>
      <c r="G941" s="8">
        <f>IF(A941="","",SUM($F$2:F941))</f>
        <v/>
      </c>
      <c r="H941" s="8">
        <f>IF(A941="","",Eingabe!$B$7-G941)</f>
        <v/>
      </c>
      <c r="I941" s="8">
        <f>IF(A941="","",Eingabe!$B$8-SUMIFS($F$2:F941,$D$2:D941,D941))</f>
        <v/>
      </c>
      <c r="J941" s="8">
        <f>IF(A941="","",IF(E941="",1E+99,IFERROR(VLOOKUP(E941,Eingabe!$D$5:$E$44,2,FALSE),Eingabe!$B$9)))</f>
        <v/>
      </c>
      <c r="K941" s="8">
        <f>IF(A941="","",IF(E941="",1E+99,J941-SUMIFS($F$2:F941,$E$2:E941,E941)))</f>
        <v/>
      </c>
      <c r="L941" s="5">
        <f>IF(A941="","",IF(OR(H941&lt;0,I941&lt;0,K941&lt;0),"UNMOEGLICH","OK"))</f>
        <v/>
      </c>
    </row>
    <row r="942">
      <c r="A942" s="7">
        <f>IF(ROW()-1&lt;=Eingabe!$B$4-Eingabe!$B$3+1,Eingabe!$B$3+ROW()-2,"")</f>
        <v/>
      </c>
      <c r="B942" s="5">
        <f>IF(A942="","",TEXT(A942,"yyyy-mm-dd"))</f>
        <v/>
      </c>
      <c r="C942" s="5">
        <f>IF(A942="","",TEXT(A942,"ddd"))</f>
        <v/>
      </c>
      <c r="D942" s="5">
        <f>IF(A942="","",TEXT(A942,"yyyy-mm"))</f>
        <v/>
      </c>
      <c r="E942" s="5">
        <f>IF(A942="","",IF(A942&lt;Eingabe!$B$5,"",INT((A942-Eingabe!$B$5)/(Eingabe!$B$6*7))+1))</f>
        <v/>
      </c>
      <c r="F942" s="8">
        <f>IF(A942="","",SUMPRODUCT((Eingabe!$B$16:$B$165&lt;&gt;"")*(Eingabe!$J$16:$J$165)*--(A942&gt;=Eingabe!$G$16:$G$165)*--(A942&lt;=Eingabe!$H$16:$H$165)*--(WEEKDAY(A942,2)&lt;=5)))</f>
        <v/>
      </c>
      <c r="G942" s="8">
        <f>IF(A942="","",SUM($F$2:F942))</f>
        <v/>
      </c>
      <c r="H942" s="8">
        <f>IF(A942="","",Eingabe!$B$7-G942)</f>
        <v/>
      </c>
      <c r="I942" s="8">
        <f>IF(A942="","",Eingabe!$B$8-SUMIFS($F$2:F942,$D$2:D942,D942))</f>
        <v/>
      </c>
      <c r="J942" s="8">
        <f>IF(A942="","",IF(E942="",1E+99,IFERROR(VLOOKUP(E942,Eingabe!$D$5:$E$44,2,FALSE),Eingabe!$B$9)))</f>
        <v/>
      </c>
      <c r="K942" s="8">
        <f>IF(A942="","",IF(E942="",1E+99,J942-SUMIFS($F$2:F942,$E$2:E942,E942)))</f>
        <v/>
      </c>
      <c r="L942" s="5">
        <f>IF(A942="","",IF(OR(H942&lt;0,I942&lt;0,K942&lt;0),"UNMOEGLICH","OK"))</f>
        <v/>
      </c>
    </row>
    <row r="943">
      <c r="A943" s="7">
        <f>IF(ROW()-1&lt;=Eingabe!$B$4-Eingabe!$B$3+1,Eingabe!$B$3+ROW()-2,"")</f>
        <v/>
      </c>
      <c r="B943" s="5">
        <f>IF(A943="","",TEXT(A943,"yyyy-mm-dd"))</f>
        <v/>
      </c>
      <c r="C943" s="5">
        <f>IF(A943="","",TEXT(A943,"ddd"))</f>
        <v/>
      </c>
      <c r="D943" s="5">
        <f>IF(A943="","",TEXT(A943,"yyyy-mm"))</f>
        <v/>
      </c>
      <c r="E943" s="5">
        <f>IF(A943="","",IF(A943&lt;Eingabe!$B$5,"",INT((A943-Eingabe!$B$5)/(Eingabe!$B$6*7))+1))</f>
        <v/>
      </c>
      <c r="F943" s="8">
        <f>IF(A943="","",SUMPRODUCT((Eingabe!$B$16:$B$165&lt;&gt;"")*(Eingabe!$J$16:$J$165)*--(A943&gt;=Eingabe!$G$16:$G$165)*--(A943&lt;=Eingabe!$H$16:$H$165)*--(WEEKDAY(A943,2)&lt;=5)))</f>
        <v/>
      </c>
      <c r="G943" s="8">
        <f>IF(A943="","",SUM($F$2:F943))</f>
        <v/>
      </c>
      <c r="H943" s="8">
        <f>IF(A943="","",Eingabe!$B$7-G943)</f>
        <v/>
      </c>
      <c r="I943" s="8">
        <f>IF(A943="","",Eingabe!$B$8-SUMIFS($F$2:F943,$D$2:D943,D943))</f>
        <v/>
      </c>
      <c r="J943" s="8">
        <f>IF(A943="","",IF(E943="",1E+99,IFERROR(VLOOKUP(E943,Eingabe!$D$5:$E$44,2,FALSE),Eingabe!$B$9)))</f>
        <v/>
      </c>
      <c r="K943" s="8">
        <f>IF(A943="","",IF(E943="",1E+99,J943-SUMIFS($F$2:F943,$E$2:E943,E943)))</f>
        <v/>
      </c>
      <c r="L943" s="5">
        <f>IF(A943="","",IF(OR(H943&lt;0,I943&lt;0,K943&lt;0),"UNMOEGLICH","OK"))</f>
        <v/>
      </c>
    </row>
    <row r="944">
      <c r="A944" s="7">
        <f>IF(ROW()-1&lt;=Eingabe!$B$4-Eingabe!$B$3+1,Eingabe!$B$3+ROW()-2,"")</f>
        <v/>
      </c>
      <c r="B944" s="5">
        <f>IF(A944="","",TEXT(A944,"yyyy-mm-dd"))</f>
        <v/>
      </c>
      <c r="C944" s="5">
        <f>IF(A944="","",TEXT(A944,"ddd"))</f>
        <v/>
      </c>
      <c r="D944" s="5">
        <f>IF(A944="","",TEXT(A944,"yyyy-mm"))</f>
        <v/>
      </c>
      <c r="E944" s="5">
        <f>IF(A944="","",IF(A944&lt;Eingabe!$B$5,"",INT((A944-Eingabe!$B$5)/(Eingabe!$B$6*7))+1))</f>
        <v/>
      </c>
      <c r="F944" s="8">
        <f>IF(A944="","",SUMPRODUCT((Eingabe!$B$16:$B$165&lt;&gt;"")*(Eingabe!$J$16:$J$165)*--(A944&gt;=Eingabe!$G$16:$G$165)*--(A944&lt;=Eingabe!$H$16:$H$165)*--(WEEKDAY(A944,2)&lt;=5)))</f>
        <v/>
      </c>
      <c r="G944" s="8">
        <f>IF(A944="","",SUM($F$2:F944))</f>
        <v/>
      </c>
      <c r="H944" s="8">
        <f>IF(A944="","",Eingabe!$B$7-G944)</f>
        <v/>
      </c>
      <c r="I944" s="8">
        <f>IF(A944="","",Eingabe!$B$8-SUMIFS($F$2:F944,$D$2:D944,D944))</f>
        <v/>
      </c>
      <c r="J944" s="8">
        <f>IF(A944="","",IF(E944="",1E+99,IFERROR(VLOOKUP(E944,Eingabe!$D$5:$E$44,2,FALSE),Eingabe!$B$9)))</f>
        <v/>
      </c>
      <c r="K944" s="8">
        <f>IF(A944="","",IF(E944="",1E+99,J944-SUMIFS($F$2:F944,$E$2:E944,E944)))</f>
        <v/>
      </c>
      <c r="L944" s="5">
        <f>IF(A944="","",IF(OR(H944&lt;0,I944&lt;0,K944&lt;0),"UNMOEGLICH","OK"))</f>
        <v/>
      </c>
    </row>
    <row r="945">
      <c r="A945" s="7">
        <f>IF(ROW()-1&lt;=Eingabe!$B$4-Eingabe!$B$3+1,Eingabe!$B$3+ROW()-2,"")</f>
        <v/>
      </c>
      <c r="B945" s="5">
        <f>IF(A945="","",TEXT(A945,"yyyy-mm-dd"))</f>
        <v/>
      </c>
      <c r="C945" s="5">
        <f>IF(A945="","",TEXT(A945,"ddd"))</f>
        <v/>
      </c>
      <c r="D945" s="5">
        <f>IF(A945="","",TEXT(A945,"yyyy-mm"))</f>
        <v/>
      </c>
      <c r="E945" s="5">
        <f>IF(A945="","",IF(A945&lt;Eingabe!$B$5,"",INT((A945-Eingabe!$B$5)/(Eingabe!$B$6*7))+1))</f>
        <v/>
      </c>
      <c r="F945" s="8">
        <f>IF(A945="","",SUMPRODUCT((Eingabe!$B$16:$B$165&lt;&gt;"")*(Eingabe!$J$16:$J$165)*--(A945&gt;=Eingabe!$G$16:$G$165)*--(A945&lt;=Eingabe!$H$16:$H$165)*--(WEEKDAY(A945,2)&lt;=5)))</f>
        <v/>
      </c>
      <c r="G945" s="8">
        <f>IF(A945="","",SUM($F$2:F945))</f>
        <v/>
      </c>
      <c r="H945" s="8">
        <f>IF(A945="","",Eingabe!$B$7-G945)</f>
        <v/>
      </c>
      <c r="I945" s="8">
        <f>IF(A945="","",Eingabe!$B$8-SUMIFS($F$2:F945,$D$2:D945,D945))</f>
        <v/>
      </c>
      <c r="J945" s="8">
        <f>IF(A945="","",IF(E945="",1E+99,IFERROR(VLOOKUP(E945,Eingabe!$D$5:$E$44,2,FALSE),Eingabe!$B$9)))</f>
        <v/>
      </c>
      <c r="K945" s="8">
        <f>IF(A945="","",IF(E945="",1E+99,J945-SUMIFS($F$2:F945,$E$2:E945,E945)))</f>
        <v/>
      </c>
      <c r="L945" s="5">
        <f>IF(A945="","",IF(OR(H945&lt;0,I945&lt;0,K945&lt;0),"UNMOEGLICH","OK"))</f>
        <v/>
      </c>
    </row>
    <row r="946">
      <c r="A946" s="7">
        <f>IF(ROW()-1&lt;=Eingabe!$B$4-Eingabe!$B$3+1,Eingabe!$B$3+ROW()-2,"")</f>
        <v/>
      </c>
      <c r="B946" s="5">
        <f>IF(A946="","",TEXT(A946,"yyyy-mm-dd"))</f>
        <v/>
      </c>
      <c r="C946" s="5">
        <f>IF(A946="","",TEXT(A946,"ddd"))</f>
        <v/>
      </c>
      <c r="D946" s="5">
        <f>IF(A946="","",TEXT(A946,"yyyy-mm"))</f>
        <v/>
      </c>
      <c r="E946" s="5">
        <f>IF(A946="","",IF(A946&lt;Eingabe!$B$5,"",INT((A946-Eingabe!$B$5)/(Eingabe!$B$6*7))+1))</f>
        <v/>
      </c>
      <c r="F946" s="8">
        <f>IF(A946="","",SUMPRODUCT((Eingabe!$B$16:$B$165&lt;&gt;"")*(Eingabe!$J$16:$J$165)*--(A946&gt;=Eingabe!$G$16:$G$165)*--(A946&lt;=Eingabe!$H$16:$H$165)*--(WEEKDAY(A946,2)&lt;=5)))</f>
        <v/>
      </c>
      <c r="G946" s="8">
        <f>IF(A946="","",SUM($F$2:F946))</f>
        <v/>
      </c>
      <c r="H946" s="8">
        <f>IF(A946="","",Eingabe!$B$7-G946)</f>
        <v/>
      </c>
      <c r="I946" s="8">
        <f>IF(A946="","",Eingabe!$B$8-SUMIFS($F$2:F946,$D$2:D946,D946))</f>
        <v/>
      </c>
      <c r="J946" s="8">
        <f>IF(A946="","",IF(E946="",1E+99,IFERROR(VLOOKUP(E946,Eingabe!$D$5:$E$44,2,FALSE),Eingabe!$B$9)))</f>
        <v/>
      </c>
      <c r="K946" s="8">
        <f>IF(A946="","",IF(E946="",1E+99,J946-SUMIFS($F$2:F946,$E$2:E946,E946)))</f>
        <v/>
      </c>
      <c r="L946" s="5">
        <f>IF(A946="","",IF(OR(H946&lt;0,I946&lt;0,K946&lt;0),"UNMOEGLICH","OK"))</f>
        <v/>
      </c>
    </row>
    <row r="947">
      <c r="A947" s="7">
        <f>IF(ROW()-1&lt;=Eingabe!$B$4-Eingabe!$B$3+1,Eingabe!$B$3+ROW()-2,"")</f>
        <v/>
      </c>
      <c r="B947" s="5">
        <f>IF(A947="","",TEXT(A947,"yyyy-mm-dd"))</f>
        <v/>
      </c>
      <c r="C947" s="5">
        <f>IF(A947="","",TEXT(A947,"ddd"))</f>
        <v/>
      </c>
      <c r="D947" s="5">
        <f>IF(A947="","",TEXT(A947,"yyyy-mm"))</f>
        <v/>
      </c>
      <c r="E947" s="5">
        <f>IF(A947="","",IF(A947&lt;Eingabe!$B$5,"",INT((A947-Eingabe!$B$5)/(Eingabe!$B$6*7))+1))</f>
        <v/>
      </c>
      <c r="F947" s="8">
        <f>IF(A947="","",SUMPRODUCT((Eingabe!$B$16:$B$165&lt;&gt;"")*(Eingabe!$J$16:$J$165)*--(A947&gt;=Eingabe!$G$16:$G$165)*--(A947&lt;=Eingabe!$H$16:$H$165)*--(WEEKDAY(A947,2)&lt;=5)))</f>
        <v/>
      </c>
      <c r="G947" s="8">
        <f>IF(A947="","",SUM($F$2:F947))</f>
        <v/>
      </c>
      <c r="H947" s="8">
        <f>IF(A947="","",Eingabe!$B$7-G947)</f>
        <v/>
      </c>
      <c r="I947" s="8">
        <f>IF(A947="","",Eingabe!$B$8-SUMIFS($F$2:F947,$D$2:D947,D947))</f>
        <v/>
      </c>
      <c r="J947" s="8">
        <f>IF(A947="","",IF(E947="",1E+99,IFERROR(VLOOKUP(E947,Eingabe!$D$5:$E$44,2,FALSE),Eingabe!$B$9)))</f>
        <v/>
      </c>
      <c r="K947" s="8">
        <f>IF(A947="","",IF(E947="",1E+99,J947-SUMIFS($F$2:F947,$E$2:E947,E947)))</f>
        <v/>
      </c>
      <c r="L947" s="5">
        <f>IF(A947="","",IF(OR(H947&lt;0,I947&lt;0,K947&lt;0),"UNMOEGLICH","OK"))</f>
        <v/>
      </c>
    </row>
    <row r="948">
      <c r="A948" s="7">
        <f>IF(ROW()-1&lt;=Eingabe!$B$4-Eingabe!$B$3+1,Eingabe!$B$3+ROW()-2,"")</f>
        <v/>
      </c>
      <c r="B948" s="5">
        <f>IF(A948="","",TEXT(A948,"yyyy-mm-dd"))</f>
        <v/>
      </c>
      <c r="C948" s="5">
        <f>IF(A948="","",TEXT(A948,"ddd"))</f>
        <v/>
      </c>
      <c r="D948" s="5">
        <f>IF(A948="","",TEXT(A948,"yyyy-mm"))</f>
        <v/>
      </c>
      <c r="E948" s="5">
        <f>IF(A948="","",IF(A948&lt;Eingabe!$B$5,"",INT((A948-Eingabe!$B$5)/(Eingabe!$B$6*7))+1))</f>
        <v/>
      </c>
      <c r="F948" s="8">
        <f>IF(A948="","",SUMPRODUCT((Eingabe!$B$16:$B$165&lt;&gt;"")*(Eingabe!$J$16:$J$165)*--(A948&gt;=Eingabe!$G$16:$G$165)*--(A948&lt;=Eingabe!$H$16:$H$165)*--(WEEKDAY(A948,2)&lt;=5)))</f>
        <v/>
      </c>
      <c r="G948" s="8">
        <f>IF(A948="","",SUM($F$2:F948))</f>
        <v/>
      </c>
      <c r="H948" s="8">
        <f>IF(A948="","",Eingabe!$B$7-G948)</f>
        <v/>
      </c>
      <c r="I948" s="8">
        <f>IF(A948="","",Eingabe!$B$8-SUMIFS($F$2:F948,$D$2:D948,D948))</f>
        <v/>
      </c>
      <c r="J948" s="8">
        <f>IF(A948="","",IF(E948="",1E+99,IFERROR(VLOOKUP(E948,Eingabe!$D$5:$E$44,2,FALSE),Eingabe!$B$9)))</f>
        <v/>
      </c>
      <c r="K948" s="8">
        <f>IF(A948="","",IF(E948="",1E+99,J948-SUMIFS($F$2:F948,$E$2:E948,E948)))</f>
        <v/>
      </c>
      <c r="L948" s="5">
        <f>IF(A948="","",IF(OR(H948&lt;0,I948&lt;0,K948&lt;0),"UNMOEGLICH","OK"))</f>
        <v/>
      </c>
    </row>
    <row r="949">
      <c r="A949" s="7">
        <f>IF(ROW()-1&lt;=Eingabe!$B$4-Eingabe!$B$3+1,Eingabe!$B$3+ROW()-2,"")</f>
        <v/>
      </c>
      <c r="B949" s="5">
        <f>IF(A949="","",TEXT(A949,"yyyy-mm-dd"))</f>
        <v/>
      </c>
      <c r="C949" s="5">
        <f>IF(A949="","",TEXT(A949,"ddd"))</f>
        <v/>
      </c>
      <c r="D949" s="5">
        <f>IF(A949="","",TEXT(A949,"yyyy-mm"))</f>
        <v/>
      </c>
      <c r="E949" s="5">
        <f>IF(A949="","",IF(A949&lt;Eingabe!$B$5,"",INT((A949-Eingabe!$B$5)/(Eingabe!$B$6*7))+1))</f>
        <v/>
      </c>
      <c r="F949" s="8">
        <f>IF(A949="","",SUMPRODUCT((Eingabe!$B$16:$B$165&lt;&gt;"")*(Eingabe!$J$16:$J$165)*--(A949&gt;=Eingabe!$G$16:$G$165)*--(A949&lt;=Eingabe!$H$16:$H$165)*--(WEEKDAY(A949,2)&lt;=5)))</f>
        <v/>
      </c>
      <c r="G949" s="8">
        <f>IF(A949="","",SUM($F$2:F949))</f>
        <v/>
      </c>
      <c r="H949" s="8">
        <f>IF(A949="","",Eingabe!$B$7-G949)</f>
        <v/>
      </c>
      <c r="I949" s="8">
        <f>IF(A949="","",Eingabe!$B$8-SUMIFS($F$2:F949,$D$2:D949,D949))</f>
        <v/>
      </c>
      <c r="J949" s="8">
        <f>IF(A949="","",IF(E949="",1E+99,IFERROR(VLOOKUP(E949,Eingabe!$D$5:$E$44,2,FALSE),Eingabe!$B$9)))</f>
        <v/>
      </c>
      <c r="K949" s="8">
        <f>IF(A949="","",IF(E949="",1E+99,J949-SUMIFS($F$2:F949,$E$2:E949,E949)))</f>
        <v/>
      </c>
      <c r="L949" s="5">
        <f>IF(A949="","",IF(OR(H949&lt;0,I949&lt;0,K949&lt;0),"UNMOEGLICH","OK"))</f>
        <v/>
      </c>
    </row>
    <row r="950">
      <c r="A950" s="7">
        <f>IF(ROW()-1&lt;=Eingabe!$B$4-Eingabe!$B$3+1,Eingabe!$B$3+ROW()-2,"")</f>
        <v/>
      </c>
      <c r="B950" s="5">
        <f>IF(A950="","",TEXT(A950,"yyyy-mm-dd"))</f>
        <v/>
      </c>
      <c r="C950" s="5">
        <f>IF(A950="","",TEXT(A950,"ddd"))</f>
        <v/>
      </c>
      <c r="D950" s="5">
        <f>IF(A950="","",TEXT(A950,"yyyy-mm"))</f>
        <v/>
      </c>
      <c r="E950" s="5">
        <f>IF(A950="","",IF(A950&lt;Eingabe!$B$5,"",INT((A950-Eingabe!$B$5)/(Eingabe!$B$6*7))+1))</f>
        <v/>
      </c>
      <c r="F950" s="8">
        <f>IF(A950="","",SUMPRODUCT((Eingabe!$B$16:$B$165&lt;&gt;"")*(Eingabe!$J$16:$J$165)*--(A950&gt;=Eingabe!$G$16:$G$165)*--(A950&lt;=Eingabe!$H$16:$H$165)*--(WEEKDAY(A950,2)&lt;=5)))</f>
        <v/>
      </c>
      <c r="G950" s="8">
        <f>IF(A950="","",SUM($F$2:F950))</f>
        <v/>
      </c>
      <c r="H950" s="8">
        <f>IF(A950="","",Eingabe!$B$7-G950)</f>
        <v/>
      </c>
      <c r="I950" s="8">
        <f>IF(A950="","",Eingabe!$B$8-SUMIFS($F$2:F950,$D$2:D950,D950))</f>
        <v/>
      </c>
      <c r="J950" s="8">
        <f>IF(A950="","",IF(E950="",1E+99,IFERROR(VLOOKUP(E950,Eingabe!$D$5:$E$44,2,FALSE),Eingabe!$B$9)))</f>
        <v/>
      </c>
      <c r="K950" s="8">
        <f>IF(A950="","",IF(E950="",1E+99,J950-SUMIFS($F$2:F950,$E$2:E950,E950)))</f>
        <v/>
      </c>
      <c r="L950" s="5">
        <f>IF(A950="","",IF(OR(H950&lt;0,I950&lt;0,K950&lt;0),"UNMOEGLICH","OK"))</f>
        <v/>
      </c>
    </row>
    <row r="951">
      <c r="A951" s="7">
        <f>IF(ROW()-1&lt;=Eingabe!$B$4-Eingabe!$B$3+1,Eingabe!$B$3+ROW()-2,"")</f>
        <v/>
      </c>
      <c r="B951" s="5">
        <f>IF(A951="","",TEXT(A951,"yyyy-mm-dd"))</f>
        <v/>
      </c>
      <c r="C951" s="5">
        <f>IF(A951="","",TEXT(A951,"ddd"))</f>
        <v/>
      </c>
      <c r="D951" s="5">
        <f>IF(A951="","",TEXT(A951,"yyyy-mm"))</f>
        <v/>
      </c>
      <c r="E951" s="5">
        <f>IF(A951="","",IF(A951&lt;Eingabe!$B$5,"",INT((A951-Eingabe!$B$5)/(Eingabe!$B$6*7))+1))</f>
        <v/>
      </c>
      <c r="F951" s="8">
        <f>IF(A951="","",SUMPRODUCT((Eingabe!$B$16:$B$165&lt;&gt;"")*(Eingabe!$J$16:$J$165)*--(A951&gt;=Eingabe!$G$16:$G$165)*--(A951&lt;=Eingabe!$H$16:$H$165)*--(WEEKDAY(A951,2)&lt;=5)))</f>
        <v/>
      </c>
      <c r="G951" s="8">
        <f>IF(A951="","",SUM($F$2:F951))</f>
        <v/>
      </c>
      <c r="H951" s="8">
        <f>IF(A951="","",Eingabe!$B$7-G951)</f>
        <v/>
      </c>
      <c r="I951" s="8">
        <f>IF(A951="","",Eingabe!$B$8-SUMIFS($F$2:F951,$D$2:D951,D951))</f>
        <v/>
      </c>
      <c r="J951" s="8">
        <f>IF(A951="","",IF(E951="",1E+99,IFERROR(VLOOKUP(E951,Eingabe!$D$5:$E$44,2,FALSE),Eingabe!$B$9)))</f>
        <v/>
      </c>
      <c r="K951" s="8">
        <f>IF(A951="","",IF(E951="",1E+99,J951-SUMIFS($F$2:F951,$E$2:E951,E951)))</f>
        <v/>
      </c>
      <c r="L951" s="5">
        <f>IF(A951="","",IF(OR(H951&lt;0,I951&lt;0,K951&lt;0),"UNMOEGLICH","OK"))</f>
        <v/>
      </c>
    </row>
    <row r="952">
      <c r="A952" s="7">
        <f>IF(ROW()-1&lt;=Eingabe!$B$4-Eingabe!$B$3+1,Eingabe!$B$3+ROW()-2,"")</f>
        <v/>
      </c>
      <c r="B952" s="5">
        <f>IF(A952="","",TEXT(A952,"yyyy-mm-dd"))</f>
        <v/>
      </c>
      <c r="C952" s="5">
        <f>IF(A952="","",TEXT(A952,"ddd"))</f>
        <v/>
      </c>
      <c r="D952" s="5">
        <f>IF(A952="","",TEXT(A952,"yyyy-mm"))</f>
        <v/>
      </c>
      <c r="E952" s="5">
        <f>IF(A952="","",IF(A952&lt;Eingabe!$B$5,"",INT((A952-Eingabe!$B$5)/(Eingabe!$B$6*7))+1))</f>
        <v/>
      </c>
      <c r="F952" s="8">
        <f>IF(A952="","",SUMPRODUCT((Eingabe!$B$16:$B$165&lt;&gt;"")*(Eingabe!$J$16:$J$165)*--(A952&gt;=Eingabe!$G$16:$G$165)*--(A952&lt;=Eingabe!$H$16:$H$165)*--(WEEKDAY(A952,2)&lt;=5)))</f>
        <v/>
      </c>
      <c r="G952" s="8">
        <f>IF(A952="","",SUM($F$2:F952))</f>
        <v/>
      </c>
      <c r="H952" s="8">
        <f>IF(A952="","",Eingabe!$B$7-G952)</f>
        <v/>
      </c>
      <c r="I952" s="8">
        <f>IF(A952="","",Eingabe!$B$8-SUMIFS($F$2:F952,$D$2:D952,D952))</f>
        <v/>
      </c>
      <c r="J952" s="8">
        <f>IF(A952="","",IF(E952="",1E+99,IFERROR(VLOOKUP(E952,Eingabe!$D$5:$E$44,2,FALSE),Eingabe!$B$9)))</f>
        <v/>
      </c>
      <c r="K952" s="8">
        <f>IF(A952="","",IF(E952="",1E+99,J952-SUMIFS($F$2:F952,$E$2:E952,E952)))</f>
        <v/>
      </c>
      <c r="L952" s="5">
        <f>IF(A952="","",IF(OR(H952&lt;0,I952&lt;0,K952&lt;0),"UNMOEGLICH","OK"))</f>
        <v/>
      </c>
    </row>
    <row r="953">
      <c r="A953" s="7">
        <f>IF(ROW()-1&lt;=Eingabe!$B$4-Eingabe!$B$3+1,Eingabe!$B$3+ROW()-2,"")</f>
        <v/>
      </c>
      <c r="B953" s="5">
        <f>IF(A953="","",TEXT(A953,"yyyy-mm-dd"))</f>
        <v/>
      </c>
      <c r="C953" s="5">
        <f>IF(A953="","",TEXT(A953,"ddd"))</f>
        <v/>
      </c>
      <c r="D953" s="5">
        <f>IF(A953="","",TEXT(A953,"yyyy-mm"))</f>
        <v/>
      </c>
      <c r="E953" s="5">
        <f>IF(A953="","",IF(A953&lt;Eingabe!$B$5,"",INT((A953-Eingabe!$B$5)/(Eingabe!$B$6*7))+1))</f>
        <v/>
      </c>
      <c r="F953" s="8">
        <f>IF(A953="","",SUMPRODUCT((Eingabe!$B$16:$B$165&lt;&gt;"")*(Eingabe!$J$16:$J$165)*--(A953&gt;=Eingabe!$G$16:$G$165)*--(A953&lt;=Eingabe!$H$16:$H$165)*--(WEEKDAY(A953,2)&lt;=5)))</f>
        <v/>
      </c>
      <c r="G953" s="8">
        <f>IF(A953="","",SUM($F$2:F953))</f>
        <v/>
      </c>
      <c r="H953" s="8">
        <f>IF(A953="","",Eingabe!$B$7-G953)</f>
        <v/>
      </c>
      <c r="I953" s="8">
        <f>IF(A953="","",Eingabe!$B$8-SUMIFS($F$2:F953,$D$2:D953,D953))</f>
        <v/>
      </c>
      <c r="J953" s="8">
        <f>IF(A953="","",IF(E953="",1E+99,IFERROR(VLOOKUP(E953,Eingabe!$D$5:$E$44,2,FALSE),Eingabe!$B$9)))</f>
        <v/>
      </c>
      <c r="K953" s="8">
        <f>IF(A953="","",IF(E953="",1E+99,J953-SUMIFS($F$2:F953,$E$2:E953,E953)))</f>
        <v/>
      </c>
      <c r="L953" s="5">
        <f>IF(A953="","",IF(OR(H953&lt;0,I953&lt;0,K953&lt;0),"UNMOEGLICH","OK"))</f>
        <v/>
      </c>
    </row>
    <row r="954">
      <c r="A954" s="7">
        <f>IF(ROW()-1&lt;=Eingabe!$B$4-Eingabe!$B$3+1,Eingabe!$B$3+ROW()-2,"")</f>
        <v/>
      </c>
      <c r="B954" s="5">
        <f>IF(A954="","",TEXT(A954,"yyyy-mm-dd"))</f>
        <v/>
      </c>
      <c r="C954" s="5">
        <f>IF(A954="","",TEXT(A954,"ddd"))</f>
        <v/>
      </c>
      <c r="D954" s="5">
        <f>IF(A954="","",TEXT(A954,"yyyy-mm"))</f>
        <v/>
      </c>
      <c r="E954" s="5">
        <f>IF(A954="","",IF(A954&lt;Eingabe!$B$5,"",INT((A954-Eingabe!$B$5)/(Eingabe!$B$6*7))+1))</f>
        <v/>
      </c>
      <c r="F954" s="8">
        <f>IF(A954="","",SUMPRODUCT((Eingabe!$B$16:$B$165&lt;&gt;"")*(Eingabe!$J$16:$J$165)*--(A954&gt;=Eingabe!$G$16:$G$165)*--(A954&lt;=Eingabe!$H$16:$H$165)*--(WEEKDAY(A954,2)&lt;=5)))</f>
        <v/>
      </c>
      <c r="G954" s="8">
        <f>IF(A954="","",SUM($F$2:F954))</f>
        <v/>
      </c>
      <c r="H954" s="8">
        <f>IF(A954="","",Eingabe!$B$7-G954)</f>
        <v/>
      </c>
      <c r="I954" s="8">
        <f>IF(A954="","",Eingabe!$B$8-SUMIFS($F$2:F954,$D$2:D954,D954))</f>
        <v/>
      </c>
      <c r="J954" s="8">
        <f>IF(A954="","",IF(E954="",1E+99,IFERROR(VLOOKUP(E954,Eingabe!$D$5:$E$44,2,FALSE),Eingabe!$B$9)))</f>
        <v/>
      </c>
      <c r="K954" s="8">
        <f>IF(A954="","",IF(E954="",1E+99,J954-SUMIFS($F$2:F954,$E$2:E954,E954)))</f>
        <v/>
      </c>
      <c r="L954" s="5">
        <f>IF(A954="","",IF(OR(H954&lt;0,I954&lt;0,K954&lt;0),"UNMOEGLICH","OK"))</f>
        <v/>
      </c>
    </row>
    <row r="955">
      <c r="A955" s="7">
        <f>IF(ROW()-1&lt;=Eingabe!$B$4-Eingabe!$B$3+1,Eingabe!$B$3+ROW()-2,"")</f>
        <v/>
      </c>
      <c r="B955" s="5">
        <f>IF(A955="","",TEXT(A955,"yyyy-mm-dd"))</f>
        <v/>
      </c>
      <c r="C955" s="5">
        <f>IF(A955="","",TEXT(A955,"ddd"))</f>
        <v/>
      </c>
      <c r="D955" s="5">
        <f>IF(A955="","",TEXT(A955,"yyyy-mm"))</f>
        <v/>
      </c>
      <c r="E955" s="5">
        <f>IF(A955="","",IF(A955&lt;Eingabe!$B$5,"",INT((A955-Eingabe!$B$5)/(Eingabe!$B$6*7))+1))</f>
        <v/>
      </c>
      <c r="F955" s="8">
        <f>IF(A955="","",SUMPRODUCT((Eingabe!$B$16:$B$165&lt;&gt;"")*(Eingabe!$J$16:$J$165)*--(A955&gt;=Eingabe!$G$16:$G$165)*--(A955&lt;=Eingabe!$H$16:$H$165)*--(WEEKDAY(A955,2)&lt;=5)))</f>
        <v/>
      </c>
      <c r="G955" s="8">
        <f>IF(A955="","",SUM($F$2:F955))</f>
        <v/>
      </c>
      <c r="H955" s="8">
        <f>IF(A955="","",Eingabe!$B$7-G955)</f>
        <v/>
      </c>
      <c r="I955" s="8">
        <f>IF(A955="","",Eingabe!$B$8-SUMIFS($F$2:F955,$D$2:D955,D955))</f>
        <v/>
      </c>
      <c r="J955" s="8">
        <f>IF(A955="","",IF(E955="",1E+99,IFERROR(VLOOKUP(E955,Eingabe!$D$5:$E$44,2,FALSE),Eingabe!$B$9)))</f>
        <v/>
      </c>
      <c r="K955" s="8">
        <f>IF(A955="","",IF(E955="",1E+99,J955-SUMIFS($F$2:F955,$E$2:E955,E955)))</f>
        <v/>
      </c>
      <c r="L955" s="5">
        <f>IF(A955="","",IF(OR(H955&lt;0,I955&lt;0,K955&lt;0),"UNMOEGLICH","OK"))</f>
        <v/>
      </c>
    </row>
    <row r="956">
      <c r="A956" s="7">
        <f>IF(ROW()-1&lt;=Eingabe!$B$4-Eingabe!$B$3+1,Eingabe!$B$3+ROW()-2,"")</f>
        <v/>
      </c>
      <c r="B956" s="5">
        <f>IF(A956="","",TEXT(A956,"yyyy-mm-dd"))</f>
        <v/>
      </c>
      <c r="C956" s="5">
        <f>IF(A956="","",TEXT(A956,"ddd"))</f>
        <v/>
      </c>
      <c r="D956" s="5">
        <f>IF(A956="","",TEXT(A956,"yyyy-mm"))</f>
        <v/>
      </c>
      <c r="E956" s="5">
        <f>IF(A956="","",IF(A956&lt;Eingabe!$B$5,"",INT((A956-Eingabe!$B$5)/(Eingabe!$B$6*7))+1))</f>
        <v/>
      </c>
      <c r="F956" s="8">
        <f>IF(A956="","",SUMPRODUCT((Eingabe!$B$16:$B$165&lt;&gt;"")*(Eingabe!$J$16:$J$165)*--(A956&gt;=Eingabe!$G$16:$G$165)*--(A956&lt;=Eingabe!$H$16:$H$165)*--(WEEKDAY(A956,2)&lt;=5)))</f>
        <v/>
      </c>
      <c r="G956" s="8">
        <f>IF(A956="","",SUM($F$2:F956))</f>
        <v/>
      </c>
      <c r="H956" s="8">
        <f>IF(A956="","",Eingabe!$B$7-G956)</f>
        <v/>
      </c>
      <c r="I956" s="8">
        <f>IF(A956="","",Eingabe!$B$8-SUMIFS($F$2:F956,$D$2:D956,D956))</f>
        <v/>
      </c>
      <c r="J956" s="8">
        <f>IF(A956="","",IF(E956="",1E+99,IFERROR(VLOOKUP(E956,Eingabe!$D$5:$E$44,2,FALSE),Eingabe!$B$9)))</f>
        <v/>
      </c>
      <c r="K956" s="8">
        <f>IF(A956="","",IF(E956="",1E+99,J956-SUMIFS($F$2:F956,$E$2:E956,E956)))</f>
        <v/>
      </c>
      <c r="L956" s="5">
        <f>IF(A956="","",IF(OR(H956&lt;0,I956&lt;0,K956&lt;0),"UNMOEGLICH","OK"))</f>
        <v/>
      </c>
    </row>
    <row r="957">
      <c r="A957" s="7">
        <f>IF(ROW()-1&lt;=Eingabe!$B$4-Eingabe!$B$3+1,Eingabe!$B$3+ROW()-2,"")</f>
        <v/>
      </c>
      <c r="B957" s="5">
        <f>IF(A957="","",TEXT(A957,"yyyy-mm-dd"))</f>
        <v/>
      </c>
      <c r="C957" s="5">
        <f>IF(A957="","",TEXT(A957,"ddd"))</f>
        <v/>
      </c>
      <c r="D957" s="5">
        <f>IF(A957="","",TEXT(A957,"yyyy-mm"))</f>
        <v/>
      </c>
      <c r="E957" s="5">
        <f>IF(A957="","",IF(A957&lt;Eingabe!$B$5,"",INT((A957-Eingabe!$B$5)/(Eingabe!$B$6*7))+1))</f>
        <v/>
      </c>
      <c r="F957" s="8">
        <f>IF(A957="","",SUMPRODUCT((Eingabe!$B$16:$B$165&lt;&gt;"")*(Eingabe!$J$16:$J$165)*--(A957&gt;=Eingabe!$G$16:$G$165)*--(A957&lt;=Eingabe!$H$16:$H$165)*--(WEEKDAY(A957,2)&lt;=5)))</f>
        <v/>
      </c>
      <c r="G957" s="8">
        <f>IF(A957="","",SUM($F$2:F957))</f>
        <v/>
      </c>
      <c r="H957" s="8">
        <f>IF(A957="","",Eingabe!$B$7-G957)</f>
        <v/>
      </c>
      <c r="I957" s="8">
        <f>IF(A957="","",Eingabe!$B$8-SUMIFS($F$2:F957,$D$2:D957,D957))</f>
        <v/>
      </c>
      <c r="J957" s="8">
        <f>IF(A957="","",IF(E957="",1E+99,IFERROR(VLOOKUP(E957,Eingabe!$D$5:$E$44,2,FALSE),Eingabe!$B$9)))</f>
        <v/>
      </c>
      <c r="K957" s="8">
        <f>IF(A957="","",IF(E957="",1E+99,J957-SUMIFS($F$2:F957,$E$2:E957,E957)))</f>
        <v/>
      </c>
      <c r="L957" s="5">
        <f>IF(A957="","",IF(OR(H957&lt;0,I957&lt;0,K957&lt;0),"UNMOEGLICH","OK"))</f>
        <v/>
      </c>
    </row>
    <row r="958">
      <c r="A958" s="7">
        <f>IF(ROW()-1&lt;=Eingabe!$B$4-Eingabe!$B$3+1,Eingabe!$B$3+ROW()-2,"")</f>
        <v/>
      </c>
      <c r="B958" s="5">
        <f>IF(A958="","",TEXT(A958,"yyyy-mm-dd"))</f>
        <v/>
      </c>
      <c r="C958" s="5">
        <f>IF(A958="","",TEXT(A958,"ddd"))</f>
        <v/>
      </c>
      <c r="D958" s="5">
        <f>IF(A958="","",TEXT(A958,"yyyy-mm"))</f>
        <v/>
      </c>
      <c r="E958" s="5">
        <f>IF(A958="","",IF(A958&lt;Eingabe!$B$5,"",INT((A958-Eingabe!$B$5)/(Eingabe!$B$6*7))+1))</f>
        <v/>
      </c>
      <c r="F958" s="8">
        <f>IF(A958="","",SUMPRODUCT((Eingabe!$B$16:$B$165&lt;&gt;"")*(Eingabe!$J$16:$J$165)*--(A958&gt;=Eingabe!$G$16:$G$165)*--(A958&lt;=Eingabe!$H$16:$H$165)*--(WEEKDAY(A958,2)&lt;=5)))</f>
        <v/>
      </c>
      <c r="G958" s="8">
        <f>IF(A958="","",SUM($F$2:F958))</f>
        <v/>
      </c>
      <c r="H958" s="8">
        <f>IF(A958="","",Eingabe!$B$7-G958)</f>
        <v/>
      </c>
      <c r="I958" s="8">
        <f>IF(A958="","",Eingabe!$B$8-SUMIFS($F$2:F958,$D$2:D958,D958))</f>
        <v/>
      </c>
      <c r="J958" s="8">
        <f>IF(A958="","",IF(E958="",1E+99,IFERROR(VLOOKUP(E958,Eingabe!$D$5:$E$44,2,FALSE),Eingabe!$B$9)))</f>
        <v/>
      </c>
      <c r="K958" s="8">
        <f>IF(A958="","",IF(E958="",1E+99,J958-SUMIFS($F$2:F958,$E$2:E958,E958)))</f>
        <v/>
      </c>
      <c r="L958" s="5">
        <f>IF(A958="","",IF(OR(H958&lt;0,I958&lt;0,K958&lt;0),"UNMOEGLICH","OK"))</f>
        <v/>
      </c>
    </row>
    <row r="959">
      <c r="A959" s="7">
        <f>IF(ROW()-1&lt;=Eingabe!$B$4-Eingabe!$B$3+1,Eingabe!$B$3+ROW()-2,"")</f>
        <v/>
      </c>
      <c r="B959" s="5">
        <f>IF(A959="","",TEXT(A959,"yyyy-mm-dd"))</f>
        <v/>
      </c>
      <c r="C959" s="5">
        <f>IF(A959="","",TEXT(A959,"ddd"))</f>
        <v/>
      </c>
      <c r="D959" s="5">
        <f>IF(A959="","",TEXT(A959,"yyyy-mm"))</f>
        <v/>
      </c>
      <c r="E959" s="5">
        <f>IF(A959="","",IF(A959&lt;Eingabe!$B$5,"",INT((A959-Eingabe!$B$5)/(Eingabe!$B$6*7))+1))</f>
        <v/>
      </c>
      <c r="F959" s="8">
        <f>IF(A959="","",SUMPRODUCT((Eingabe!$B$16:$B$165&lt;&gt;"")*(Eingabe!$J$16:$J$165)*--(A959&gt;=Eingabe!$G$16:$G$165)*--(A959&lt;=Eingabe!$H$16:$H$165)*--(WEEKDAY(A959,2)&lt;=5)))</f>
        <v/>
      </c>
      <c r="G959" s="8">
        <f>IF(A959="","",SUM($F$2:F959))</f>
        <v/>
      </c>
      <c r="H959" s="8">
        <f>IF(A959="","",Eingabe!$B$7-G959)</f>
        <v/>
      </c>
      <c r="I959" s="8">
        <f>IF(A959="","",Eingabe!$B$8-SUMIFS($F$2:F959,$D$2:D959,D959))</f>
        <v/>
      </c>
      <c r="J959" s="8">
        <f>IF(A959="","",IF(E959="",1E+99,IFERROR(VLOOKUP(E959,Eingabe!$D$5:$E$44,2,FALSE),Eingabe!$B$9)))</f>
        <v/>
      </c>
      <c r="K959" s="8">
        <f>IF(A959="","",IF(E959="",1E+99,J959-SUMIFS($F$2:F959,$E$2:E959,E959)))</f>
        <v/>
      </c>
      <c r="L959" s="5">
        <f>IF(A959="","",IF(OR(H959&lt;0,I959&lt;0,K959&lt;0),"UNMOEGLICH","OK"))</f>
        <v/>
      </c>
    </row>
    <row r="960">
      <c r="A960" s="7">
        <f>IF(ROW()-1&lt;=Eingabe!$B$4-Eingabe!$B$3+1,Eingabe!$B$3+ROW()-2,"")</f>
        <v/>
      </c>
      <c r="B960" s="5">
        <f>IF(A960="","",TEXT(A960,"yyyy-mm-dd"))</f>
        <v/>
      </c>
      <c r="C960" s="5">
        <f>IF(A960="","",TEXT(A960,"ddd"))</f>
        <v/>
      </c>
      <c r="D960" s="5">
        <f>IF(A960="","",TEXT(A960,"yyyy-mm"))</f>
        <v/>
      </c>
      <c r="E960" s="5">
        <f>IF(A960="","",IF(A960&lt;Eingabe!$B$5,"",INT((A960-Eingabe!$B$5)/(Eingabe!$B$6*7))+1))</f>
        <v/>
      </c>
      <c r="F960" s="8">
        <f>IF(A960="","",SUMPRODUCT((Eingabe!$B$16:$B$165&lt;&gt;"")*(Eingabe!$J$16:$J$165)*--(A960&gt;=Eingabe!$G$16:$G$165)*--(A960&lt;=Eingabe!$H$16:$H$165)*--(WEEKDAY(A960,2)&lt;=5)))</f>
        <v/>
      </c>
      <c r="G960" s="8">
        <f>IF(A960="","",SUM($F$2:F960))</f>
        <v/>
      </c>
      <c r="H960" s="8">
        <f>IF(A960="","",Eingabe!$B$7-G960)</f>
        <v/>
      </c>
      <c r="I960" s="8">
        <f>IF(A960="","",Eingabe!$B$8-SUMIFS($F$2:F960,$D$2:D960,D960))</f>
        <v/>
      </c>
      <c r="J960" s="8">
        <f>IF(A960="","",IF(E960="",1E+99,IFERROR(VLOOKUP(E960,Eingabe!$D$5:$E$44,2,FALSE),Eingabe!$B$9)))</f>
        <v/>
      </c>
      <c r="K960" s="8">
        <f>IF(A960="","",IF(E960="",1E+99,J960-SUMIFS($F$2:F960,$E$2:E960,E960)))</f>
        <v/>
      </c>
      <c r="L960" s="5">
        <f>IF(A960="","",IF(OR(H960&lt;0,I960&lt;0,K960&lt;0),"UNMOEGLICH","OK"))</f>
        <v/>
      </c>
    </row>
    <row r="961">
      <c r="A961" s="7">
        <f>IF(ROW()-1&lt;=Eingabe!$B$4-Eingabe!$B$3+1,Eingabe!$B$3+ROW()-2,"")</f>
        <v/>
      </c>
      <c r="B961" s="5">
        <f>IF(A961="","",TEXT(A961,"yyyy-mm-dd"))</f>
        <v/>
      </c>
      <c r="C961" s="5">
        <f>IF(A961="","",TEXT(A961,"ddd"))</f>
        <v/>
      </c>
      <c r="D961" s="5">
        <f>IF(A961="","",TEXT(A961,"yyyy-mm"))</f>
        <v/>
      </c>
      <c r="E961" s="5">
        <f>IF(A961="","",IF(A961&lt;Eingabe!$B$5,"",INT((A961-Eingabe!$B$5)/(Eingabe!$B$6*7))+1))</f>
        <v/>
      </c>
      <c r="F961" s="8">
        <f>IF(A961="","",SUMPRODUCT((Eingabe!$B$16:$B$165&lt;&gt;"")*(Eingabe!$J$16:$J$165)*--(A961&gt;=Eingabe!$G$16:$G$165)*--(A961&lt;=Eingabe!$H$16:$H$165)*--(WEEKDAY(A961,2)&lt;=5)))</f>
        <v/>
      </c>
      <c r="G961" s="8">
        <f>IF(A961="","",SUM($F$2:F961))</f>
        <v/>
      </c>
      <c r="H961" s="8">
        <f>IF(A961="","",Eingabe!$B$7-G961)</f>
        <v/>
      </c>
      <c r="I961" s="8">
        <f>IF(A961="","",Eingabe!$B$8-SUMIFS($F$2:F961,$D$2:D961,D961))</f>
        <v/>
      </c>
      <c r="J961" s="8">
        <f>IF(A961="","",IF(E961="",1E+99,IFERROR(VLOOKUP(E961,Eingabe!$D$5:$E$44,2,FALSE),Eingabe!$B$9)))</f>
        <v/>
      </c>
      <c r="K961" s="8">
        <f>IF(A961="","",IF(E961="",1E+99,J961-SUMIFS($F$2:F961,$E$2:E961,E961)))</f>
        <v/>
      </c>
      <c r="L961" s="5">
        <f>IF(A961="","",IF(OR(H961&lt;0,I961&lt;0,K961&lt;0),"UNMOEGLICH","OK"))</f>
        <v/>
      </c>
    </row>
    <row r="962">
      <c r="A962" s="7">
        <f>IF(ROW()-1&lt;=Eingabe!$B$4-Eingabe!$B$3+1,Eingabe!$B$3+ROW()-2,"")</f>
        <v/>
      </c>
      <c r="B962" s="5">
        <f>IF(A962="","",TEXT(A962,"yyyy-mm-dd"))</f>
        <v/>
      </c>
      <c r="C962" s="5">
        <f>IF(A962="","",TEXT(A962,"ddd"))</f>
        <v/>
      </c>
      <c r="D962" s="5">
        <f>IF(A962="","",TEXT(A962,"yyyy-mm"))</f>
        <v/>
      </c>
      <c r="E962" s="5">
        <f>IF(A962="","",IF(A962&lt;Eingabe!$B$5,"",INT((A962-Eingabe!$B$5)/(Eingabe!$B$6*7))+1))</f>
        <v/>
      </c>
      <c r="F962" s="8">
        <f>IF(A962="","",SUMPRODUCT((Eingabe!$B$16:$B$165&lt;&gt;"")*(Eingabe!$J$16:$J$165)*--(A962&gt;=Eingabe!$G$16:$G$165)*--(A962&lt;=Eingabe!$H$16:$H$165)*--(WEEKDAY(A962,2)&lt;=5)))</f>
        <v/>
      </c>
      <c r="G962" s="8">
        <f>IF(A962="","",SUM($F$2:F962))</f>
        <v/>
      </c>
      <c r="H962" s="8">
        <f>IF(A962="","",Eingabe!$B$7-G962)</f>
        <v/>
      </c>
      <c r="I962" s="8">
        <f>IF(A962="","",Eingabe!$B$8-SUMIFS($F$2:F962,$D$2:D962,D962))</f>
        <v/>
      </c>
      <c r="J962" s="8">
        <f>IF(A962="","",IF(E962="",1E+99,IFERROR(VLOOKUP(E962,Eingabe!$D$5:$E$44,2,FALSE),Eingabe!$B$9)))</f>
        <v/>
      </c>
      <c r="K962" s="8">
        <f>IF(A962="","",IF(E962="",1E+99,J962-SUMIFS($F$2:F962,$E$2:E962,E962)))</f>
        <v/>
      </c>
      <c r="L962" s="5">
        <f>IF(A962="","",IF(OR(H962&lt;0,I962&lt;0,K962&lt;0),"UNMOEGLICH","OK"))</f>
        <v/>
      </c>
    </row>
    <row r="963">
      <c r="A963" s="7">
        <f>IF(ROW()-1&lt;=Eingabe!$B$4-Eingabe!$B$3+1,Eingabe!$B$3+ROW()-2,"")</f>
        <v/>
      </c>
      <c r="B963" s="5">
        <f>IF(A963="","",TEXT(A963,"yyyy-mm-dd"))</f>
        <v/>
      </c>
      <c r="C963" s="5">
        <f>IF(A963="","",TEXT(A963,"ddd"))</f>
        <v/>
      </c>
      <c r="D963" s="5">
        <f>IF(A963="","",TEXT(A963,"yyyy-mm"))</f>
        <v/>
      </c>
      <c r="E963" s="5">
        <f>IF(A963="","",IF(A963&lt;Eingabe!$B$5,"",INT((A963-Eingabe!$B$5)/(Eingabe!$B$6*7))+1))</f>
        <v/>
      </c>
      <c r="F963" s="8">
        <f>IF(A963="","",SUMPRODUCT((Eingabe!$B$16:$B$165&lt;&gt;"")*(Eingabe!$J$16:$J$165)*--(A963&gt;=Eingabe!$G$16:$G$165)*--(A963&lt;=Eingabe!$H$16:$H$165)*--(WEEKDAY(A963,2)&lt;=5)))</f>
        <v/>
      </c>
      <c r="G963" s="8">
        <f>IF(A963="","",SUM($F$2:F963))</f>
        <v/>
      </c>
      <c r="H963" s="8">
        <f>IF(A963="","",Eingabe!$B$7-G963)</f>
        <v/>
      </c>
      <c r="I963" s="8">
        <f>IF(A963="","",Eingabe!$B$8-SUMIFS($F$2:F963,$D$2:D963,D963))</f>
        <v/>
      </c>
      <c r="J963" s="8">
        <f>IF(A963="","",IF(E963="",1E+99,IFERROR(VLOOKUP(E963,Eingabe!$D$5:$E$44,2,FALSE),Eingabe!$B$9)))</f>
        <v/>
      </c>
      <c r="K963" s="8">
        <f>IF(A963="","",IF(E963="",1E+99,J963-SUMIFS($F$2:F963,$E$2:E963,E963)))</f>
        <v/>
      </c>
      <c r="L963" s="5">
        <f>IF(A963="","",IF(OR(H963&lt;0,I963&lt;0,K963&lt;0),"UNMOEGLICH","OK"))</f>
        <v/>
      </c>
    </row>
    <row r="964">
      <c r="A964" s="7">
        <f>IF(ROW()-1&lt;=Eingabe!$B$4-Eingabe!$B$3+1,Eingabe!$B$3+ROW()-2,"")</f>
        <v/>
      </c>
      <c r="B964" s="5">
        <f>IF(A964="","",TEXT(A964,"yyyy-mm-dd"))</f>
        <v/>
      </c>
      <c r="C964" s="5">
        <f>IF(A964="","",TEXT(A964,"ddd"))</f>
        <v/>
      </c>
      <c r="D964" s="5">
        <f>IF(A964="","",TEXT(A964,"yyyy-mm"))</f>
        <v/>
      </c>
      <c r="E964" s="5">
        <f>IF(A964="","",IF(A964&lt;Eingabe!$B$5,"",INT((A964-Eingabe!$B$5)/(Eingabe!$B$6*7))+1))</f>
        <v/>
      </c>
      <c r="F964" s="8">
        <f>IF(A964="","",SUMPRODUCT((Eingabe!$B$16:$B$165&lt;&gt;"")*(Eingabe!$J$16:$J$165)*--(A964&gt;=Eingabe!$G$16:$G$165)*--(A964&lt;=Eingabe!$H$16:$H$165)*--(WEEKDAY(A964,2)&lt;=5)))</f>
        <v/>
      </c>
      <c r="G964" s="8">
        <f>IF(A964="","",SUM($F$2:F964))</f>
        <v/>
      </c>
      <c r="H964" s="8">
        <f>IF(A964="","",Eingabe!$B$7-G964)</f>
        <v/>
      </c>
      <c r="I964" s="8">
        <f>IF(A964="","",Eingabe!$B$8-SUMIFS($F$2:F964,$D$2:D964,D964))</f>
        <v/>
      </c>
      <c r="J964" s="8">
        <f>IF(A964="","",IF(E964="",1E+99,IFERROR(VLOOKUP(E964,Eingabe!$D$5:$E$44,2,FALSE),Eingabe!$B$9)))</f>
        <v/>
      </c>
      <c r="K964" s="8">
        <f>IF(A964="","",IF(E964="",1E+99,J964-SUMIFS($F$2:F964,$E$2:E964,E964)))</f>
        <v/>
      </c>
      <c r="L964" s="5">
        <f>IF(A964="","",IF(OR(H964&lt;0,I964&lt;0,K964&lt;0),"UNMOEGLICH","OK"))</f>
        <v/>
      </c>
    </row>
    <row r="965">
      <c r="A965" s="7">
        <f>IF(ROW()-1&lt;=Eingabe!$B$4-Eingabe!$B$3+1,Eingabe!$B$3+ROW()-2,"")</f>
        <v/>
      </c>
      <c r="B965" s="5">
        <f>IF(A965="","",TEXT(A965,"yyyy-mm-dd"))</f>
        <v/>
      </c>
      <c r="C965" s="5">
        <f>IF(A965="","",TEXT(A965,"ddd"))</f>
        <v/>
      </c>
      <c r="D965" s="5">
        <f>IF(A965="","",TEXT(A965,"yyyy-mm"))</f>
        <v/>
      </c>
      <c r="E965" s="5">
        <f>IF(A965="","",IF(A965&lt;Eingabe!$B$5,"",INT((A965-Eingabe!$B$5)/(Eingabe!$B$6*7))+1))</f>
        <v/>
      </c>
      <c r="F965" s="8">
        <f>IF(A965="","",SUMPRODUCT((Eingabe!$B$16:$B$165&lt;&gt;"")*(Eingabe!$J$16:$J$165)*--(A965&gt;=Eingabe!$G$16:$G$165)*--(A965&lt;=Eingabe!$H$16:$H$165)*--(WEEKDAY(A965,2)&lt;=5)))</f>
        <v/>
      </c>
      <c r="G965" s="8">
        <f>IF(A965="","",SUM($F$2:F965))</f>
        <v/>
      </c>
      <c r="H965" s="8">
        <f>IF(A965="","",Eingabe!$B$7-G965)</f>
        <v/>
      </c>
      <c r="I965" s="8">
        <f>IF(A965="","",Eingabe!$B$8-SUMIFS($F$2:F965,$D$2:D965,D965))</f>
        <v/>
      </c>
      <c r="J965" s="8">
        <f>IF(A965="","",IF(E965="",1E+99,IFERROR(VLOOKUP(E965,Eingabe!$D$5:$E$44,2,FALSE),Eingabe!$B$9)))</f>
        <v/>
      </c>
      <c r="K965" s="8">
        <f>IF(A965="","",IF(E965="",1E+99,J965-SUMIFS($F$2:F965,$E$2:E965,E965)))</f>
        <v/>
      </c>
      <c r="L965" s="5">
        <f>IF(A965="","",IF(OR(H965&lt;0,I965&lt;0,K965&lt;0),"UNMOEGLICH","OK"))</f>
        <v/>
      </c>
    </row>
    <row r="966">
      <c r="A966" s="7">
        <f>IF(ROW()-1&lt;=Eingabe!$B$4-Eingabe!$B$3+1,Eingabe!$B$3+ROW()-2,"")</f>
        <v/>
      </c>
      <c r="B966" s="5">
        <f>IF(A966="","",TEXT(A966,"yyyy-mm-dd"))</f>
        <v/>
      </c>
      <c r="C966" s="5">
        <f>IF(A966="","",TEXT(A966,"ddd"))</f>
        <v/>
      </c>
      <c r="D966" s="5">
        <f>IF(A966="","",TEXT(A966,"yyyy-mm"))</f>
        <v/>
      </c>
      <c r="E966" s="5">
        <f>IF(A966="","",IF(A966&lt;Eingabe!$B$5,"",INT((A966-Eingabe!$B$5)/(Eingabe!$B$6*7))+1))</f>
        <v/>
      </c>
      <c r="F966" s="8">
        <f>IF(A966="","",SUMPRODUCT((Eingabe!$B$16:$B$165&lt;&gt;"")*(Eingabe!$J$16:$J$165)*--(A966&gt;=Eingabe!$G$16:$G$165)*--(A966&lt;=Eingabe!$H$16:$H$165)*--(WEEKDAY(A966,2)&lt;=5)))</f>
        <v/>
      </c>
      <c r="G966" s="8">
        <f>IF(A966="","",SUM($F$2:F966))</f>
        <v/>
      </c>
      <c r="H966" s="8">
        <f>IF(A966="","",Eingabe!$B$7-G966)</f>
        <v/>
      </c>
      <c r="I966" s="8">
        <f>IF(A966="","",Eingabe!$B$8-SUMIFS($F$2:F966,$D$2:D966,D966))</f>
        <v/>
      </c>
      <c r="J966" s="8">
        <f>IF(A966="","",IF(E966="",1E+99,IFERROR(VLOOKUP(E966,Eingabe!$D$5:$E$44,2,FALSE),Eingabe!$B$9)))</f>
        <v/>
      </c>
      <c r="K966" s="8">
        <f>IF(A966="","",IF(E966="",1E+99,J966-SUMIFS($F$2:F966,$E$2:E966,E966)))</f>
        <v/>
      </c>
      <c r="L966" s="5">
        <f>IF(A966="","",IF(OR(H966&lt;0,I966&lt;0,K966&lt;0),"UNMOEGLICH","OK"))</f>
        <v/>
      </c>
    </row>
    <row r="967">
      <c r="A967" s="7">
        <f>IF(ROW()-1&lt;=Eingabe!$B$4-Eingabe!$B$3+1,Eingabe!$B$3+ROW()-2,"")</f>
        <v/>
      </c>
      <c r="B967" s="5">
        <f>IF(A967="","",TEXT(A967,"yyyy-mm-dd"))</f>
        <v/>
      </c>
      <c r="C967" s="5">
        <f>IF(A967="","",TEXT(A967,"ddd"))</f>
        <v/>
      </c>
      <c r="D967" s="5">
        <f>IF(A967="","",TEXT(A967,"yyyy-mm"))</f>
        <v/>
      </c>
      <c r="E967" s="5">
        <f>IF(A967="","",IF(A967&lt;Eingabe!$B$5,"",INT((A967-Eingabe!$B$5)/(Eingabe!$B$6*7))+1))</f>
        <v/>
      </c>
      <c r="F967" s="8">
        <f>IF(A967="","",SUMPRODUCT((Eingabe!$B$16:$B$165&lt;&gt;"")*(Eingabe!$J$16:$J$165)*--(A967&gt;=Eingabe!$G$16:$G$165)*--(A967&lt;=Eingabe!$H$16:$H$165)*--(WEEKDAY(A967,2)&lt;=5)))</f>
        <v/>
      </c>
      <c r="G967" s="8">
        <f>IF(A967="","",SUM($F$2:F967))</f>
        <v/>
      </c>
      <c r="H967" s="8">
        <f>IF(A967="","",Eingabe!$B$7-G967)</f>
        <v/>
      </c>
      <c r="I967" s="8">
        <f>IF(A967="","",Eingabe!$B$8-SUMIFS($F$2:F967,$D$2:D967,D967))</f>
        <v/>
      </c>
      <c r="J967" s="8">
        <f>IF(A967="","",IF(E967="",1E+99,IFERROR(VLOOKUP(E967,Eingabe!$D$5:$E$44,2,FALSE),Eingabe!$B$9)))</f>
        <v/>
      </c>
      <c r="K967" s="8">
        <f>IF(A967="","",IF(E967="",1E+99,J967-SUMIFS($F$2:F967,$E$2:E967,E967)))</f>
        <v/>
      </c>
      <c r="L967" s="5">
        <f>IF(A967="","",IF(OR(H967&lt;0,I967&lt;0,K967&lt;0),"UNMOEGLICH","OK"))</f>
        <v/>
      </c>
    </row>
    <row r="968">
      <c r="A968" s="7">
        <f>IF(ROW()-1&lt;=Eingabe!$B$4-Eingabe!$B$3+1,Eingabe!$B$3+ROW()-2,"")</f>
        <v/>
      </c>
      <c r="B968" s="5">
        <f>IF(A968="","",TEXT(A968,"yyyy-mm-dd"))</f>
        <v/>
      </c>
      <c r="C968" s="5">
        <f>IF(A968="","",TEXT(A968,"ddd"))</f>
        <v/>
      </c>
      <c r="D968" s="5">
        <f>IF(A968="","",TEXT(A968,"yyyy-mm"))</f>
        <v/>
      </c>
      <c r="E968" s="5">
        <f>IF(A968="","",IF(A968&lt;Eingabe!$B$5,"",INT((A968-Eingabe!$B$5)/(Eingabe!$B$6*7))+1))</f>
        <v/>
      </c>
      <c r="F968" s="8">
        <f>IF(A968="","",SUMPRODUCT((Eingabe!$B$16:$B$165&lt;&gt;"")*(Eingabe!$J$16:$J$165)*--(A968&gt;=Eingabe!$G$16:$G$165)*--(A968&lt;=Eingabe!$H$16:$H$165)*--(WEEKDAY(A968,2)&lt;=5)))</f>
        <v/>
      </c>
      <c r="G968" s="8">
        <f>IF(A968="","",SUM($F$2:F968))</f>
        <v/>
      </c>
      <c r="H968" s="8">
        <f>IF(A968="","",Eingabe!$B$7-G968)</f>
        <v/>
      </c>
      <c r="I968" s="8">
        <f>IF(A968="","",Eingabe!$B$8-SUMIFS($F$2:F968,$D$2:D968,D968))</f>
        <v/>
      </c>
      <c r="J968" s="8">
        <f>IF(A968="","",IF(E968="",1E+99,IFERROR(VLOOKUP(E968,Eingabe!$D$5:$E$44,2,FALSE),Eingabe!$B$9)))</f>
        <v/>
      </c>
      <c r="K968" s="8">
        <f>IF(A968="","",IF(E968="",1E+99,J968-SUMIFS($F$2:F968,$E$2:E968,E968)))</f>
        <v/>
      </c>
      <c r="L968" s="5">
        <f>IF(A968="","",IF(OR(H968&lt;0,I968&lt;0,K968&lt;0),"UNMOEGLICH","OK"))</f>
        <v/>
      </c>
    </row>
    <row r="969">
      <c r="A969" s="7">
        <f>IF(ROW()-1&lt;=Eingabe!$B$4-Eingabe!$B$3+1,Eingabe!$B$3+ROW()-2,"")</f>
        <v/>
      </c>
      <c r="B969" s="5">
        <f>IF(A969="","",TEXT(A969,"yyyy-mm-dd"))</f>
        <v/>
      </c>
      <c r="C969" s="5">
        <f>IF(A969="","",TEXT(A969,"ddd"))</f>
        <v/>
      </c>
      <c r="D969" s="5">
        <f>IF(A969="","",TEXT(A969,"yyyy-mm"))</f>
        <v/>
      </c>
      <c r="E969" s="5">
        <f>IF(A969="","",IF(A969&lt;Eingabe!$B$5,"",INT((A969-Eingabe!$B$5)/(Eingabe!$B$6*7))+1))</f>
        <v/>
      </c>
      <c r="F969" s="8">
        <f>IF(A969="","",SUMPRODUCT((Eingabe!$B$16:$B$165&lt;&gt;"")*(Eingabe!$J$16:$J$165)*--(A969&gt;=Eingabe!$G$16:$G$165)*--(A969&lt;=Eingabe!$H$16:$H$165)*--(WEEKDAY(A969,2)&lt;=5)))</f>
        <v/>
      </c>
      <c r="G969" s="8">
        <f>IF(A969="","",SUM($F$2:F969))</f>
        <v/>
      </c>
      <c r="H969" s="8">
        <f>IF(A969="","",Eingabe!$B$7-G969)</f>
        <v/>
      </c>
      <c r="I969" s="8">
        <f>IF(A969="","",Eingabe!$B$8-SUMIFS($F$2:F969,$D$2:D969,D969))</f>
        <v/>
      </c>
      <c r="J969" s="8">
        <f>IF(A969="","",IF(E969="",1E+99,IFERROR(VLOOKUP(E969,Eingabe!$D$5:$E$44,2,FALSE),Eingabe!$B$9)))</f>
        <v/>
      </c>
      <c r="K969" s="8">
        <f>IF(A969="","",IF(E969="",1E+99,J969-SUMIFS($F$2:F969,$E$2:E969,E969)))</f>
        <v/>
      </c>
      <c r="L969" s="5">
        <f>IF(A969="","",IF(OR(H969&lt;0,I969&lt;0,K969&lt;0),"UNMOEGLICH","OK"))</f>
        <v/>
      </c>
    </row>
    <row r="970">
      <c r="A970" s="7">
        <f>IF(ROW()-1&lt;=Eingabe!$B$4-Eingabe!$B$3+1,Eingabe!$B$3+ROW()-2,"")</f>
        <v/>
      </c>
      <c r="B970" s="5">
        <f>IF(A970="","",TEXT(A970,"yyyy-mm-dd"))</f>
        <v/>
      </c>
      <c r="C970" s="5">
        <f>IF(A970="","",TEXT(A970,"ddd"))</f>
        <v/>
      </c>
      <c r="D970" s="5">
        <f>IF(A970="","",TEXT(A970,"yyyy-mm"))</f>
        <v/>
      </c>
      <c r="E970" s="5">
        <f>IF(A970="","",IF(A970&lt;Eingabe!$B$5,"",INT((A970-Eingabe!$B$5)/(Eingabe!$B$6*7))+1))</f>
        <v/>
      </c>
      <c r="F970" s="8">
        <f>IF(A970="","",SUMPRODUCT((Eingabe!$B$16:$B$165&lt;&gt;"")*(Eingabe!$J$16:$J$165)*--(A970&gt;=Eingabe!$G$16:$G$165)*--(A970&lt;=Eingabe!$H$16:$H$165)*--(WEEKDAY(A970,2)&lt;=5)))</f>
        <v/>
      </c>
      <c r="G970" s="8">
        <f>IF(A970="","",SUM($F$2:F970))</f>
        <v/>
      </c>
      <c r="H970" s="8">
        <f>IF(A970="","",Eingabe!$B$7-G970)</f>
        <v/>
      </c>
      <c r="I970" s="8">
        <f>IF(A970="","",Eingabe!$B$8-SUMIFS($F$2:F970,$D$2:D970,D970))</f>
        <v/>
      </c>
      <c r="J970" s="8">
        <f>IF(A970="","",IF(E970="",1E+99,IFERROR(VLOOKUP(E970,Eingabe!$D$5:$E$44,2,FALSE),Eingabe!$B$9)))</f>
        <v/>
      </c>
      <c r="K970" s="8">
        <f>IF(A970="","",IF(E970="",1E+99,J970-SUMIFS($F$2:F970,$E$2:E970,E970)))</f>
        <v/>
      </c>
      <c r="L970" s="5">
        <f>IF(A970="","",IF(OR(H970&lt;0,I970&lt;0,K970&lt;0),"UNMOEGLICH","OK"))</f>
        <v/>
      </c>
    </row>
    <row r="971">
      <c r="A971" s="7">
        <f>IF(ROW()-1&lt;=Eingabe!$B$4-Eingabe!$B$3+1,Eingabe!$B$3+ROW()-2,"")</f>
        <v/>
      </c>
      <c r="B971" s="5">
        <f>IF(A971="","",TEXT(A971,"yyyy-mm-dd"))</f>
        <v/>
      </c>
      <c r="C971" s="5">
        <f>IF(A971="","",TEXT(A971,"ddd"))</f>
        <v/>
      </c>
      <c r="D971" s="5">
        <f>IF(A971="","",TEXT(A971,"yyyy-mm"))</f>
        <v/>
      </c>
      <c r="E971" s="5">
        <f>IF(A971="","",IF(A971&lt;Eingabe!$B$5,"",INT((A971-Eingabe!$B$5)/(Eingabe!$B$6*7))+1))</f>
        <v/>
      </c>
      <c r="F971" s="8">
        <f>IF(A971="","",SUMPRODUCT((Eingabe!$B$16:$B$165&lt;&gt;"")*(Eingabe!$J$16:$J$165)*--(A971&gt;=Eingabe!$G$16:$G$165)*--(A971&lt;=Eingabe!$H$16:$H$165)*--(WEEKDAY(A971,2)&lt;=5)))</f>
        <v/>
      </c>
      <c r="G971" s="8">
        <f>IF(A971="","",SUM($F$2:F971))</f>
        <v/>
      </c>
      <c r="H971" s="8">
        <f>IF(A971="","",Eingabe!$B$7-G971)</f>
        <v/>
      </c>
      <c r="I971" s="8">
        <f>IF(A971="","",Eingabe!$B$8-SUMIFS($F$2:F971,$D$2:D971,D971))</f>
        <v/>
      </c>
      <c r="J971" s="8">
        <f>IF(A971="","",IF(E971="",1E+99,IFERROR(VLOOKUP(E971,Eingabe!$D$5:$E$44,2,FALSE),Eingabe!$B$9)))</f>
        <v/>
      </c>
      <c r="K971" s="8">
        <f>IF(A971="","",IF(E971="",1E+99,J971-SUMIFS($F$2:F971,$E$2:E971,E971)))</f>
        <v/>
      </c>
      <c r="L971" s="5">
        <f>IF(A971="","",IF(OR(H971&lt;0,I971&lt;0,K971&lt;0),"UNMOEGLICH","OK"))</f>
        <v/>
      </c>
    </row>
    <row r="972">
      <c r="A972" s="7">
        <f>IF(ROW()-1&lt;=Eingabe!$B$4-Eingabe!$B$3+1,Eingabe!$B$3+ROW()-2,"")</f>
        <v/>
      </c>
      <c r="B972" s="5">
        <f>IF(A972="","",TEXT(A972,"yyyy-mm-dd"))</f>
        <v/>
      </c>
      <c r="C972" s="5">
        <f>IF(A972="","",TEXT(A972,"ddd"))</f>
        <v/>
      </c>
      <c r="D972" s="5">
        <f>IF(A972="","",TEXT(A972,"yyyy-mm"))</f>
        <v/>
      </c>
      <c r="E972" s="5">
        <f>IF(A972="","",IF(A972&lt;Eingabe!$B$5,"",INT((A972-Eingabe!$B$5)/(Eingabe!$B$6*7))+1))</f>
        <v/>
      </c>
      <c r="F972" s="8">
        <f>IF(A972="","",SUMPRODUCT((Eingabe!$B$16:$B$165&lt;&gt;"")*(Eingabe!$J$16:$J$165)*--(A972&gt;=Eingabe!$G$16:$G$165)*--(A972&lt;=Eingabe!$H$16:$H$165)*--(WEEKDAY(A972,2)&lt;=5)))</f>
        <v/>
      </c>
      <c r="G972" s="8">
        <f>IF(A972="","",SUM($F$2:F972))</f>
        <v/>
      </c>
      <c r="H972" s="8">
        <f>IF(A972="","",Eingabe!$B$7-G972)</f>
        <v/>
      </c>
      <c r="I972" s="8">
        <f>IF(A972="","",Eingabe!$B$8-SUMIFS($F$2:F972,$D$2:D972,D972))</f>
        <v/>
      </c>
      <c r="J972" s="8">
        <f>IF(A972="","",IF(E972="",1E+99,IFERROR(VLOOKUP(E972,Eingabe!$D$5:$E$44,2,FALSE),Eingabe!$B$9)))</f>
        <v/>
      </c>
      <c r="K972" s="8">
        <f>IF(A972="","",IF(E972="",1E+99,J972-SUMIFS($F$2:F972,$E$2:E972,E972)))</f>
        <v/>
      </c>
      <c r="L972" s="5">
        <f>IF(A972="","",IF(OR(H972&lt;0,I972&lt;0,K972&lt;0),"UNMOEGLICH","OK"))</f>
        <v/>
      </c>
    </row>
    <row r="973">
      <c r="A973" s="7">
        <f>IF(ROW()-1&lt;=Eingabe!$B$4-Eingabe!$B$3+1,Eingabe!$B$3+ROW()-2,"")</f>
        <v/>
      </c>
      <c r="B973" s="5">
        <f>IF(A973="","",TEXT(A973,"yyyy-mm-dd"))</f>
        <v/>
      </c>
      <c r="C973" s="5">
        <f>IF(A973="","",TEXT(A973,"ddd"))</f>
        <v/>
      </c>
      <c r="D973" s="5">
        <f>IF(A973="","",TEXT(A973,"yyyy-mm"))</f>
        <v/>
      </c>
      <c r="E973" s="5">
        <f>IF(A973="","",IF(A973&lt;Eingabe!$B$5,"",INT((A973-Eingabe!$B$5)/(Eingabe!$B$6*7))+1))</f>
        <v/>
      </c>
      <c r="F973" s="8">
        <f>IF(A973="","",SUMPRODUCT((Eingabe!$B$16:$B$165&lt;&gt;"")*(Eingabe!$J$16:$J$165)*--(A973&gt;=Eingabe!$G$16:$G$165)*--(A973&lt;=Eingabe!$H$16:$H$165)*--(WEEKDAY(A973,2)&lt;=5)))</f>
        <v/>
      </c>
      <c r="G973" s="8">
        <f>IF(A973="","",SUM($F$2:F973))</f>
        <v/>
      </c>
      <c r="H973" s="8">
        <f>IF(A973="","",Eingabe!$B$7-G973)</f>
        <v/>
      </c>
      <c r="I973" s="8">
        <f>IF(A973="","",Eingabe!$B$8-SUMIFS($F$2:F973,$D$2:D973,D973))</f>
        <v/>
      </c>
      <c r="J973" s="8">
        <f>IF(A973="","",IF(E973="",1E+99,IFERROR(VLOOKUP(E973,Eingabe!$D$5:$E$44,2,FALSE),Eingabe!$B$9)))</f>
        <v/>
      </c>
      <c r="K973" s="8">
        <f>IF(A973="","",IF(E973="",1E+99,J973-SUMIFS($F$2:F973,$E$2:E973,E973)))</f>
        <v/>
      </c>
      <c r="L973" s="5">
        <f>IF(A973="","",IF(OR(H973&lt;0,I973&lt;0,K973&lt;0),"UNMOEGLICH","OK"))</f>
        <v/>
      </c>
    </row>
    <row r="974">
      <c r="A974" s="7">
        <f>IF(ROW()-1&lt;=Eingabe!$B$4-Eingabe!$B$3+1,Eingabe!$B$3+ROW()-2,"")</f>
        <v/>
      </c>
      <c r="B974" s="5">
        <f>IF(A974="","",TEXT(A974,"yyyy-mm-dd"))</f>
        <v/>
      </c>
      <c r="C974" s="5">
        <f>IF(A974="","",TEXT(A974,"ddd"))</f>
        <v/>
      </c>
      <c r="D974" s="5">
        <f>IF(A974="","",TEXT(A974,"yyyy-mm"))</f>
        <v/>
      </c>
      <c r="E974" s="5">
        <f>IF(A974="","",IF(A974&lt;Eingabe!$B$5,"",INT((A974-Eingabe!$B$5)/(Eingabe!$B$6*7))+1))</f>
        <v/>
      </c>
      <c r="F974" s="8">
        <f>IF(A974="","",SUMPRODUCT((Eingabe!$B$16:$B$165&lt;&gt;"")*(Eingabe!$J$16:$J$165)*--(A974&gt;=Eingabe!$G$16:$G$165)*--(A974&lt;=Eingabe!$H$16:$H$165)*--(WEEKDAY(A974,2)&lt;=5)))</f>
        <v/>
      </c>
      <c r="G974" s="8">
        <f>IF(A974="","",SUM($F$2:F974))</f>
        <v/>
      </c>
      <c r="H974" s="8">
        <f>IF(A974="","",Eingabe!$B$7-G974)</f>
        <v/>
      </c>
      <c r="I974" s="8">
        <f>IF(A974="","",Eingabe!$B$8-SUMIFS($F$2:F974,$D$2:D974,D974))</f>
        <v/>
      </c>
      <c r="J974" s="8">
        <f>IF(A974="","",IF(E974="",1E+99,IFERROR(VLOOKUP(E974,Eingabe!$D$5:$E$44,2,FALSE),Eingabe!$B$9)))</f>
        <v/>
      </c>
      <c r="K974" s="8">
        <f>IF(A974="","",IF(E974="",1E+99,J974-SUMIFS($F$2:F974,$E$2:E974,E974)))</f>
        <v/>
      </c>
      <c r="L974" s="5">
        <f>IF(A974="","",IF(OR(H974&lt;0,I974&lt;0,K974&lt;0),"UNMOEGLICH","OK"))</f>
        <v/>
      </c>
    </row>
    <row r="975">
      <c r="A975" s="7">
        <f>IF(ROW()-1&lt;=Eingabe!$B$4-Eingabe!$B$3+1,Eingabe!$B$3+ROW()-2,"")</f>
        <v/>
      </c>
      <c r="B975" s="5">
        <f>IF(A975="","",TEXT(A975,"yyyy-mm-dd"))</f>
        <v/>
      </c>
      <c r="C975" s="5">
        <f>IF(A975="","",TEXT(A975,"ddd"))</f>
        <v/>
      </c>
      <c r="D975" s="5">
        <f>IF(A975="","",TEXT(A975,"yyyy-mm"))</f>
        <v/>
      </c>
      <c r="E975" s="5">
        <f>IF(A975="","",IF(A975&lt;Eingabe!$B$5,"",INT((A975-Eingabe!$B$5)/(Eingabe!$B$6*7))+1))</f>
        <v/>
      </c>
      <c r="F975" s="8">
        <f>IF(A975="","",SUMPRODUCT((Eingabe!$B$16:$B$165&lt;&gt;"")*(Eingabe!$J$16:$J$165)*--(A975&gt;=Eingabe!$G$16:$G$165)*--(A975&lt;=Eingabe!$H$16:$H$165)*--(WEEKDAY(A975,2)&lt;=5)))</f>
        <v/>
      </c>
      <c r="G975" s="8">
        <f>IF(A975="","",SUM($F$2:F975))</f>
        <v/>
      </c>
      <c r="H975" s="8">
        <f>IF(A975="","",Eingabe!$B$7-G975)</f>
        <v/>
      </c>
      <c r="I975" s="8">
        <f>IF(A975="","",Eingabe!$B$8-SUMIFS($F$2:F975,$D$2:D975,D975))</f>
        <v/>
      </c>
      <c r="J975" s="8">
        <f>IF(A975="","",IF(E975="",1E+99,IFERROR(VLOOKUP(E975,Eingabe!$D$5:$E$44,2,FALSE),Eingabe!$B$9)))</f>
        <v/>
      </c>
      <c r="K975" s="8">
        <f>IF(A975="","",IF(E975="",1E+99,J975-SUMIFS($F$2:F975,$E$2:E975,E975)))</f>
        <v/>
      </c>
      <c r="L975" s="5">
        <f>IF(A975="","",IF(OR(H975&lt;0,I975&lt;0,K975&lt;0),"UNMOEGLICH","OK"))</f>
        <v/>
      </c>
    </row>
    <row r="976">
      <c r="A976" s="7">
        <f>IF(ROW()-1&lt;=Eingabe!$B$4-Eingabe!$B$3+1,Eingabe!$B$3+ROW()-2,"")</f>
        <v/>
      </c>
      <c r="B976" s="5">
        <f>IF(A976="","",TEXT(A976,"yyyy-mm-dd"))</f>
        <v/>
      </c>
      <c r="C976" s="5">
        <f>IF(A976="","",TEXT(A976,"ddd"))</f>
        <v/>
      </c>
      <c r="D976" s="5">
        <f>IF(A976="","",TEXT(A976,"yyyy-mm"))</f>
        <v/>
      </c>
      <c r="E976" s="5">
        <f>IF(A976="","",IF(A976&lt;Eingabe!$B$5,"",INT((A976-Eingabe!$B$5)/(Eingabe!$B$6*7))+1))</f>
        <v/>
      </c>
      <c r="F976" s="8">
        <f>IF(A976="","",SUMPRODUCT((Eingabe!$B$16:$B$165&lt;&gt;"")*(Eingabe!$J$16:$J$165)*--(A976&gt;=Eingabe!$G$16:$G$165)*--(A976&lt;=Eingabe!$H$16:$H$165)*--(WEEKDAY(A976,2)&lt;=5)))</f>
        <v/>
      </c>
      <c r="G976" s="8">
        <f>IF(A976="","",SUM($F$2:F976))</f>
        <v/>
      </c>
      <c r="H976" s="8">
        <f>IF(A976="","",Eingabe!$B$7-G976)</f>
        <v/>
      </c>
      <c r="I976" s="8">
        <f>IF(A976="","",Eingabe!$B$8-SUMIFS($F$2:F976,$D$2:D976,D976))</f>
        <v/>
      </c>
      <c r="J976" s="8">
        <f>IF(A976="","",IF(E976="",1E+99,IFERROR(VLOOKUP(E976,Eingabe!$D$5:$E$44,2,FALSE),Eingabe!$B$9)))</f>
        <v/>
      </c>
      <c r="K976" s="8">
        <f>IF(A976="","",IF(E976="",1E+99,J976-SUMIFS($F$2:F976,$E$2:E976,E976)))</f>
        <v/>
      </c>
      <c r="L976" s="5">
        <f>IF(A976="","",IF(OR(H976&lt;0,I976&lt;0,K976&lt;0),"UNMOEGLICH","OK"))</f>
        <v/>
      </c>
    </row>
    <row r="977">
      <c r="A977" s="7">
        <f>IF(ROW()-1&lt;=Eingabe!$B$4-Eingabe!$B$3+1,Eingabe!$B$3+ROW()-2,"")</f>
        <v/>
      </c>
      <c r="B977" s="5">
        <f>IF(A977="","",TEXT(A977,"yyyy-mm-dd"))</f>
        <v/>
      </c>
      <c r="C977" s="5">
        <f>IF(A977="","",TEXT(A977,"ddd"))</f>
        <v/>
      </c>
      <c r="D977" s="5">
        <f>IF(A977="","",TEXT(A977,"yyyy-mm"))</f>
        <v/>
      </c>
      <c r="E977" s="5">
        <f>IF(A977="","",IF(A977&lt;Eingabe!$B$5,"",INT((A977-Eingabe!$B$5)/(Eingabe!$B$6*7))+1))</f>
        <v/>
      </c>
      <c r="F977" s="8">
        <f>IF(A977="","",SUMPRODUCT((Eingabe!$B$16:$B$165&lt;&gt;"")*(Eingabe!$J$16:$J$165)*--(A977&gt;=Eingabe!$G$16:$G$165)*--(A977&lt;=Eingabe!$H$16:$H$165)*--(WEEKDAY(A977,2)&lt;=5)))</f>
        <v/>
      </c>
      <c r="G977" s="8">
        <f>IF(A977="","",SUM($F$2:F977))</f>
        <v/>
      </c>
      <c r="H977" s="8">
        <f>IF(A977="","",Eingabe!$B$7-G977)</f>
        <v/>
      </c>
      <c r="I977" s="8">
        <f>IF(A977="","",Eingabe!$B$8-SUMIFS($F$2:F977,$D$2:D977,D977))</f>
        <v/>
      </c>
      <c r="J977" s="8">
        <f>IF(A977="","",IF(E977="",1E+99,IFERROR(VLOOKUP(E977,Eingabe!$D$5:$E$44,2,FALSE),Eingabe!$B$9)))</f>
        <v/>
      </c>
      <c r="K977" s="8">
        <f>IF(A977="","",IF(E977="",1E+99,J977-SUMIFS($F$2:F977,$E$2:E977,E977)))</f>
        <v/>
      </c>
      <c r="L977" s="5">
        <f>IF(A977="","",IF(OR(H977&lt;0,I977&lt;0,K977&lt;0),"UNMOEGLICH","OK"))</f>
        <v/>
      </c>
    </row>
    <row r="978">
      <c r="A978" s="7">
        <f>IF(ROW()-1&lt;=Eingabe!$B$4-Eingabe!$B$3+1,Eingabe!$B$3+ROW()-2,"")</f>
        <v/>
      </c>
      <c r="B978" s="5">
        <f>IF(A978="","",TEXT(A978,"yyyy-mm-dd"))</f>
        <v/>
      </c>
      <c r="C978" s="5">
        <f>IF(A978="","",TEXT(A978,"ddd"))</f>
        <v/>
      </c>
      <c r="D978" s="5">
        <f>IF(A978="","",TEXT(A978,"yyyy-mm"))</f>
        <v/>
      </c>
      <c r="E978" s="5">
        <f>IF(A978="","",IF(A978&lt;Eingabe!$B$5,"",INT((A978-Eingabe!$B$5)/(Eingabe!$B$6*7))+1))</f>
        <v/>
      </c>
      <c r="F978" s="8">
        <f>IF(A978="","",SUMPRODUCT((Eingabe!$B$16:$B$165&lt;&gt;"")*(Eingabe!$J$16:$J$165)*--(A978&gt;=Eingabe!$G$16:$G$165)*--(A978&lt;=Eingabe!$H$16:$H$165)*--(WEEKDAY(A978,2)&lt;=5)))</f>
        <v/>
      </c>
      <c r="G978" s="8">
        <f>IF(A978="","",SUM($F$2:F978))</f>
        <v/>
      </c>
      <c r="H978" s="8">
        <f>IF(A978="","",Eingabe!$B$7-G978)</f>
        <v/>
      </c>
      <c r="I978" s="8">
        <f>IF(A978="","",Eingabe!$B$8-SUMIFS($F$2:F978,$D$2:D978,D978))</f>
        <v/>
      </c>
      <c r="J978" s="8">
        <f>IF(A978="","",IF(E978="",1E+99,IFERROR(VLOOKUP(E978,Eingabe!$D$5:$E$44,2,FALSE),Eingabe!$B$9)))</f>
        <v/>
      </c>
      <c r="K978" s="8">
        <f>IF(A978="","",IF(E978="",1E+99,J978-SUMIFS($F$2:F978,$E$2:E978,E978)))</f>
        <v/>
      </c>
      <c r="L978" s="5">
        <f>IF(A978="","",IF(OR(H978&lt;0,I978&lt;0,K978&lt;0),"UNMOEGLICH","OK"))</f>
        <v/>
      </c>
    </row>
    <row r="979">
      <c r="A979" s="7">
        <f>IF(ROW()-1&lt;=Eingabe!$B$4-Eingabe!$B$3+1,Eingabe!$B$3+ROW()-2,"")</f>
        <v/>
      </c>
      <c r="B979" s="5">
        <f>IF(A979="","",TEXT(A979,"yyyy-mm-dd"))</f>
        <v/>
      </c>
      <c r="C979" s="5">
        <f>IF(A979="","",TEXT(A979,"ddd"))</f>
        <v/>
      </c>
      <c r="D979" s="5">
        <f>IF(A979="","",TEXT(A979,"yyyy-mm"))</f>
        <v/>
      </c>
      <c r="E979" s="5">
        <f>IF(A979="","",IF(A979&lt;Eingabe!$B$5,"",INT((A979-Eingabe!$B$5)/(Eingabe!$B$6*7))+1))</f>
        <v/>
      </c>
      <c r="F979" s="8">
        <f>IF(A979="","",SUMPRODUCT((Eingabe!$B$16:$B$165&lt;&gt;"")*(Eingabe!$J$16:$J$165)*--(A979&gt;=Eingabe!$G$16:$G$165)*--(A979&lt;=Eingabe!$H$16:$H$165)*--(WEEKDAY(A979,2)&lt;=5)))</f>
        <v/>
      </c>
      <c r="G979" s="8">
        <f>IF(A979="","",SUM($F$2:F979))</f>
        <v/>
      </c>
      <c r="H979" s="8">
        <f>IF(A979="","",Eingabe!$B$7-G979)</f>
        <v/>
      </c>
      <c r="I979" s="8">
        <f>IF(A979="","",Eingabe!$B$8-SUMIFS($F$2:F979,$D$2:D979,D979))</f>
        <v/>
      </c>
      <c r="J979" s="8">
        <f>IF(A979="","",IF(E979="",1E+99,IFERROR(VLOOKUP(E979,Eingabe!$D$5:$E$44,2,FALSE),Eingabe!$B$9)))</f>
        <v/>
      </c>
      <c r="K979" s="8">
        <f>IF(A979="","",IF(E979="",1E+99,J979-SUMIFS($F$2:F979,$E$2:E979,E979)))</f>
        <v/>
      </c>
      <c r="L979" s="5">
        <f>IF(A979="","",IF(OR(H979&lt;0,I979&lt;0,K979&lt;0),"UNMOEGLICH","OK"))</f>
        <v/>
      </c>
    </row>
    <row r="980">
      <c r="A980" s="7">
        <f>IF(ROW()-1&lt;=Eingabe!$B$4-Eingabe!$B$3+1,Eingabe!$B$3+ROW()-2,"")</f>
        <v/>
      </c>
      <c r="B980" s="5">
        <f>IF(A980="","",TEXT(A980,"yyyy-mm-dd"))</f>
        <v/>
      </c>
      <c r="C980" s="5">
        <f>IF(A980="","",TEXT(A980,"ddd"))</f>
        <v/>
      </c>
      <c r="D980" s="5">
        <f>IF(A980="","",TEXT(A980,"yyyy-mm"))</f>
        <v/>
      </c>
      <c r="E980" s="5">
        <f>IF(A980="","",IF(A980&lt;Eingabe!$B$5,"",INT((A980-Eingabe!$B$5)/(Eingabe!$B$6*7))+1))</f>
        <v/>
      </c>
      <c r="F980" s="8">
        <f>IF(A980="","",SUMPRODUCT((Eingabe!$B$16:$B$165&lt;&gt;"")*(Eingabe!$J$16:$J$165)*--(A980&gt;=Eingabe!$G$16:$G$165)*--(A980&lt;=Eingabe!$H$16:$H$165)*--(WEEKDAY(A980,2)&lt;=5)))</f>
        <v/>
      </c>
      <c r="G980" s="8">
        <f>IF(A980="","",SUM($F$2:F980))</f>
        <v/>
      </c>
      <c r="H980" s="8">
        <f>IF(A980="","",Eingabe!$B$7-G980)</f>
        <v/>
      </c>
      <c r="I980" s="8">
        <f>IF(A980="","",Eingabe!$B$8-SUMIFS($F$2:F980,$D$2:D980,D980))</f>
        <v/>
      </c>
      <c r="J980" s="8">
        <f>IF(A980="","",IF(E980="",1E+99,IFERROR(VLOOKUP(E980,Eingabe!$D$5:$E$44,2,FALSE),Eingabe!$B$9)))</f>
        <v/>
      </c>
      <c r="K980" s="8">
        <f>IF(A980="","",IF(E980="",1E+99,J980-SUMIFS($F$2:F980,$E$2:E980,E980)))</f>
        <v/>
      </c>
      <c r="L980" s="5">
        <f>IF(A980="","",IF(OR(H980&lt;0,I980&lt;0,K980&lt;0),"UNMOEGLICH","OK"))</f>
        <v/>
      </c>
    </row>
    <row r="981">
      <c r="A981" s="7">
        <f>IF(ROW()-1&lt;=Eingabe!$B$4-Eingabe!$B$3+1,Eingabe!$B$3+ROW()-2,"")</f>
        <v/>
      </c>
      <c r="B981" s="5">
        <f>IF(A981="","",TEXT(A981,"yyyy-mm-dd"))</f>
        <v/>
      </c>
      <c r="C981" s="5">
        <f>IF(A981="","",TEXT(A981,"ddd"))</f>
        <v/>
      </c>
      <c r="D981" s="5">
        <f>IF(A981="","",TEXT(A981,"yyyy-mm"))</f>
        <v/>
      </c>
      <c r="E981" s="5">
        <f>IF(A981="","",IF(A981&lt;Eingabe!$B$5,"",INT((A981-Eingabe!$B$5)/(Eingabe!$B$6*7))+1))</f>
        <v/>
      </c>
      <c r="F981" s="8">
        <f>IF(A981="","",SUMPRODUCT((Eingabe!$B$16:$B$165&lt;&gt;"")*(Eingabe!$J$16:$J$165)*--(A981&gt;=Eingabe!$G$16:$G$165)*--(A981&lt;=Eingabe!$H$16:$H$165)*--(WEEKDAY(A981,2)&lt;=5)))</f>
        <v/>
      </c>
      <c r="G981" s="8">
        <f>IF(A981="","",SUM($F$2:F981))</f>
        <v/>
      </c>
      <c r="H981" s="8">
        <f>IF(A981="","",Eingabe!$B$7-G981)</f>
        <v/>
      </c>
      <c r="I981" s="8">
        <f>IF(A981="","",Eingabe!$B$8-SUMIFS($F$2:F981,$D$2:D981,D981))</f>
        <v/>
      </c>
      <c r="J981" s="8">
        <f>IF(A981="","",IF(E981="",1E+99,IFERROR(VLOOKUP(E981,Eingabe!$D$5:$E$44,2,FALSE),Eingabe!$B$9)))</f>
        <v/>
      </c>
      <c r="K981" s="8">
        <f>IF(A981="","",IF(E981="",1E+99,J981-SUMIFS($F$2:F981,$E$2:E981,E981)))</f>
        <v/>
      </c>
      <c r="L981" s="5">
        <f>IF(A981="","",IF(OR(H981&lt;0,I981&lt;0,K981&lt;0),"UNMOEGLICH","OK"))</f>
        <v/>
      </c>
    </row>
    <row r="982">
      <c r="A982" s="7">
        <f>IF(ROW()-1&lt;=Eingabe!$B$4-Eingabe!$B$3+1,Eingabe!$B$3+ROW()-2,"")</f>
        <v/>
      </c>
      <c r="B982" s="5">
        <f>IF(A982="","",TEXT(A982,"yyyy-mm-dd"))</f>
        <v/>
      </c>
      <c r="C982" s="5">
        <f>IF(A982="","",TEXT(A982,"ddd"))</f>
        <v/>
      </c>
      <c r="D982" s="5">
        <f>IF(A982="","",TEXT(A982,"yyyy-mm"))</f>
        <v/>
      </c>
      <c r="E982" s="5">
        <f>IF(A982="","",IF(A982&lt;Eingabe!$B$5,"",INT((A982-Eingabe!$B$5)/(Eingabe!$B$6*7))+1))</f>
        <v/>
      </c>
      <c r="F982" s="8">
        <f>IF(A982="","",SUMPRODUCT((Eingabe!$B$16:$B$165&lt;&gt;"")*(Eingabe!$J$16:$J$165)*--(A982&gt;=Eingabe!$G$16:$G$165)*--(A982&lt;=Eingabe!$H$16:$H$165)*--(WEEKDAY(A982,2)&lt;=5)))</f>
        <v/>
      </c>
      <c r="G982" s="8">
        <f>IF(A982="","",SUM($F$2:F982))</f>
        <v/>
      </c>
      <c r="H982" s="8">
        <f>IF(A982="","",Eingabe!$B$7-G982)</f>
        <v/>
      </c>
      <c r="I982" s="8">
        <f>IF(A982="","",Eingabe!$B$8-SUMIFS($F$2:F982,$D$2:D982,D982))</f>
        <v/>
      </c>
      <c r="J982" s="8">
        <f>IF(A982="","",IF(E982="",1E+99,IFERROR(VLOOKUP(E982,Eingabe!$D$5:$E$44,2,FALSE),Eingabe!$B$9)))</f>
        <v/>
      </c>
      <c r="K982" s="8">
        <f>IF(A982="","",IF(E982="",1E+99,J982-SUMIFS($F$2:F982,$E$2:E982,E982)))</f>
        <v/>
      </c>
      <c r="L982" s="5">
        <f>IF(A982="","",IF(OR(H982&lt;0,I982&lt;0,K982&lt;0),"UNMOEGLICH","OK"))</f>
        <v/>
      </c>
    </row>
    <row r="983">
      <c r="A983" s="7">
        <f>IF(ROW()-1&lt;=Eingabe!$B$4-Eingabe!$B$3+1,Eingabe!$B$3+ROW()-2,"")</f>
        <v/>
      </c>
      <c r="B983" s="5">
        <f>IF(A983="","",TEXT(A983,"yyyy-mm-dd"))</f>
        <v/>
      </c>
      <c r="C983" s="5">
        <f>IF(A983="","",TEXT(A983,"ddd"))</f>
        <v/>
      </c>
      <c r="D983" s="5">
        <f>IF(A983="","",TEXT(A983,"yyyy-mm"))</f>
        <v/>
      </c>
      <c r="E983" s="5">
        <f>IF(A983="","",IF(A983&lt;Eingabe!$B$5,"",INT((A983-Eingabe!$B$5)/(Eingabe!$B$6*7))+1))</f>
        <v/>
      </c>
      <c r="F983" s="8">
        <f>IF(A983="","",SUMPRODUCT((Eingabe!$B$16:$B$165&lt;&gt;"")*(Eingabe!$J$16:$J$165)*--(A983&gt;=Eingabe!$G$16:$G$165)*--(A983&lt;=Eingabe!$H$16:$H$165)*--(WEEKDAY(A983,2)&lt;=5)))</f>
        <v/>
      </c>
      <c r="G983" s="8">
        <f>IF(A983="","",SUM($F$2:F983))</f>
        <v/>
      </c>
      <c r="H983" s="8">
        <f>IF(A983="","",Eingabe!$B$7-G983)</f>
        <v/>
      </c>
      <c r="I983" s="8">
        <f>IF(A983="","",Eingabe!$B$8-SUMIFS($F$2:F983,$D$2:D983,D983))</f>
        <v/>
      </c>
      <c r="J983" s="8">
        <f>IF(A983="","",IF(E983="",1E+99,IFERROR(VLOOKUP(E983,Eingabe!$D$5:$E$44,2,FALSE),Eingabe!$B$9)))</f>
        <v/>
      </c>
      <c r="K983" s="8">
        <f>IF(A983="","",IF(E983="",1E+99,J983-SUMIFS($F$2:F983,$E$2:E983,E983)))</f>
        <v/>
      </c>
      <c r="L983" s="5">
        <f>IF(A983="","",IF(OR(H983&lt;0,I983&lt;0,K983&lt;0),"UNMOEGLICH","OK"))</f>
        <v/>
      </c>
    </row>
    <row r="984">
      <c r="A984" s="7">
        <f>IF(ROW()-1&lt;=Eingabe!$B$4-Eingabe!$B$3+1,Eingabe!$B$3+ROW()-2,"")</f>
        <v/>
      </c>
      <c r="B984" s="5">
        <f>IF(A984="","",TEXT(A984,"yyyy-mm-dd"))</f>
        <v/>
      </c>
      <c r="C984" s="5">
        <f>IF(A984="","",TEXT(A984,"ddd"))</f>
        <v/>
      </c>
      <c r="D984" s="5">
        <f>IF(A984="","",TEXT(A984,"yyyy-mm"))</f>
        <v/>
      </c>
      <c r="E984" s="5">
        <f>IF(A984="","",IF(A984&lt;Eingabe!$B$5,"",INT((A984-Eingabe!$B$5)/(Eingabe!$B$6*7))+1))</f>
        <v/>
      </c>
      <c r="F984" s="8">
        <f>IF(A984="","",SUMPRODUCT((Eingabe!$B$16:$B$165&lt;&gt;"")*(Eingabe!$J$16:$J$165)*--(A984&gt;=Eingabe!$G$16:$G$165)*--(A984&lt;=Eingabe!$H$16:$H$165)*--(WEEKDAY(A984,2)&lt;=5)))</f>
        <v/>
      </c>
      <c r="G984" s="8">
        <f>IF(A984="","",SUM($F$2:F984))</f>
        <v/>
      </c>
      <c r="H984" s="8">
        <f>IF(A984="","",Eingabe!$B$7-G984)</f>
        <v/>
      </c>
      <c r="I984" s="8">
        <f>IF(A984="","",Eingabe!$B$8-SUMIFS($F$2:F984,$D$2:D984,D984))</f>
        <v/>
      </c>
      <c r="J984" s="8">
        <f>IF(A984="","",IF(E984="",1E+99,IFERROR(VLOOKUP(E984,Eingabe!$D$5:$E$44,2,FALSE),Eingabe!$B$9)))</f>
        <v/>
      </c>
      <c r="K984" s="8">
        <f>IF(A984="","",IF(E984="",1E+99,J984-SUMIFS($F$2:F984,$E$2:E984,E984)))</f>
        <v/>
      </c>
      <c r="L984" s="5">
        <f>IF(A984="","",IF(OR(H984&lt;0,I984&lt;0,K984&lt;0),"UNMOEGLICH","OK"))</f>
        <v/>
      </c>
    </row>
    <row r="985">
      <c r="A985" s="7">
        <f>IF(ROW()-1&lt;=Eingabe!$B$4-Eingabe!$B$3+1,Eingabe!$B$3+ROW()-2,"")</f>
        <v/>
      </c>
      <c r="B985" s="5">
        <f>IF(A985="","",TEXT(A985,"yyyy-mm-dd"))</f>
        <v/>
      </c>
      <c r="C985" s="5">
        <f>IF(A985="","",TEXT(A985,"ddd"))</f>
        <v/>
      </c>
      <c r="D985" s="5">
        <f>IF(A985="","",TEXT(A985,"yyyy-mm"))</f>
        <v/>
      </c>
      <c r="E985" s="5">
        <f>IF(A985="","",IF(A985&lt;Eingabe!$B$5,"",INT((A985-Eingabe!$B$5)/(Eingabe!$B$6*7))+1))</f>
        <v/>
      </c>
      <c r="F985" s="8">
        <f>IF(A985="","",SUMPRODUCT((Eingabe!$B$16:$B$165&lt;&gt;"")*(Eingabe!$J$16:$J$165)*--(A985&gt;=Eingabe!$G$16:$G$165)*--(A985&lt;=Eingabe!$H$16:$H$165)*--(WEEKDAY(A985,2)&lt;=5)))</f>
        <v/>
      </c>
      <c r="G985" s="8">
        <f>IF(A985="","",SUM($F$2:F985))</f>
        <v/>
      </c>
      <c r="H985" s="8">
        <f>IF(A985="","",Eingabe!$B$7-G985)</f>
        <v/>
      </c>
      <c r="I985" s="8">
        <f>IF(A985="","",Eingabe!$B$8-SUMIFS($F$2:F985,$D$2:D985,D985))</f>
        <v/>
      </c>
      <c r="J985" s="8">
        <f>IF(A985="","",IF(E985="",1E+99,IFERROR(VLOOKUP(E985,Eingabe!$D$5:$E$44,2,FALSE),Eingabe!$B$9)))</f>
        <v/>
      </c>
      <c r="K985" s="8">
        <f>IF(A985="","",IF(E985="",1E+99,J985-SUMIFS($F$2:F985,$E$2:E985,E985)))</f>
        <v/>
      </c>
      <c r="L985" s="5">
        <f>IF(A985="","",IF(OR(H985&lt;0,I985&lt;0,K985&lt;0),"UNMOEGLICH","OK"))</f>
        <v/>
      </c>
    </row>
    <row r="986">
      <c r="A986" s="7">
        <f>IF(ROW()-1&lt;=Eingabe!$B$4-Eingabe!$B$3+1,Eingabe!$B$3+ROW()-2,"")</f>
        <v/>
      </c>
      <c r="B986" s="5">
        <f>IF(A986="","",TEXT(A986,"yyyy-mm-dd"))</f>
        <v/>
      </c>
      <c r="C986" s="5">
        <f>IF(A986="","",TEXT(A986,"ddd"))</f>
        <v/>
      </c>
      <c r="D986" s="5">
        <f>IF(A986="","",TEXT(A986,"yyyy-mm"))</f>
        <v/>
      </c>
      <c r="E986" s="5">
        <f>IF(A986="","",IF(A986&lt;Eingabe!$B$5,"",INT((A986-Eingabe!$B$5)/(Eingabe!$B$6*7))+1))</f>
        <v/>
      </c>
      <c r="F986" s="8">
        <f>IF(A986="","",SUMPRODUCT((Eingabe!$B$16:$B$165&lt;&gt;"")*(Eingabe!$J$16:$J$165)*--(A986&gt;=Eingabe!$G$16:$G$165)*--(A986&lt;=Eingabe!$H$16:$H$165)*--(WEEKDAY(A986,2)&lt;=5)))</f>
        <v/>
      </c>
      <c r="G986" s="8">
        <f>IF(A986="","",SUM($F$2:F986))</f>
        <v/>
      </c>
      <c r="H986" s="8">
        <f>IF(A986="","",Eingabe!$B$7-G986)</f>
        <v/>
      </c>
      <c r="I986" s="8">
        <f>IF(A986="","",Eingabe!$B$8-SUMIFS($F$2:F986,$D$2:D986,D986))</f>
        <v/>
      </c>
      <c r="J986" s="8">
        <f>IF(A986="","",IF(E986="",1E+99,IFERROR(VLOOKUP(E986,Eingabe!$D$5:$E$44,2,FALSE),Eingabe!$B$9)))</f>
        <v/>
      </c>
      <c r="K986" s="8">
        <f>IF(A986="","",IF(E986="",1E+99,J986-SUMIFS($F$2:F986,$E$2:E986,E986)))</f>
        <v/>
      </c>
      <c r="L986" s="5">
        <f>IF(A986="","",IF(OR(H986&lt;0,I986&lt;0,K986&lt;0),"UNMOEGLICH","OK"))</f>
        <v/>
      </c>
    </row>
    <row r="987">
      <c r="A987" s="7">
        <f>IF(ROW()-1&lt;=Eingabe!$B$4-Eingabe!$B$3+1,Eingabe!$B$3+ROW()-2,"")</f>
        <v/>
      </c>
      <c r="B987" s="5">
        <f>IF(A987="","",TEXT(A987,"yyyy-mm-dd"))</f>
        <v/>
      </c>
      <c r="C987" s="5">
        <f>IF(A987="","",TEXT(A987,"ddd"))</f>
        <v/>
      </c>
      <c r="D987" s="5">
        <f>IF(A987="","",TEXT(A987,"yyyy-mm"))</f>
        <v/>
      </c>
      <c r="E987" s="5">
        <f>IF(A987="","",IF(A987&lt;Eingabe!$B$5,"",INT((A987-Eingabe!$B$5)/(Eingabe!$B$6*7))+1))</f>
        <v/>
      </c>
      <c r="F987" s="8">
        <f>IF(A987="","",SUMPRODUCT((Eingabe!$B$16:$B$165&lt;&gt;"")*(Eingabe!$J$16:$J$165)*--(A987&gt;=Eingabe!$G$16:$G$165)*--(A987&lt;=Eingabe!$H$16:$H$165)*--(WEEKDAY(A987,2)&lt;=5)))</f>
        <v/>
      </c>
      <c r="G987" s="8">
        <f>IF(A987="","",SUM($F$2:F987))</f>
        <v/>
      </c>
      <c r="H987" s="8">
        <f>IF(A987="","",Eingabe!$B$7-G987)</f>
        <v/>
      </c>
      <c r="I987" s="8">
        <f>IF(A987="","",Eingabe!$B$8-SUMIFS($F$2:F987,$D$2:D987,D987))</f>
        <v/>
      </c>
      <c r="J987" s="8">
        <f>IF(A987="","",IF(E987="",1E+99,IFERROR(VLOOKUP(E987,Eingabe!$D$5:$E$44,2,FALSE),Eingabe!$B$9)))</f>
        <v/>
      </c>
      <c r="K987" s="8">
        <f>IF(A987="","",IF(E987="",1E+99,J987-SUMIFS($F$2:F987,$E$2:E987,E987)))</f>
        <v/>
      </c>
      <c r="L987" s="5">
        <f>IF(A987="","",IF(OR(H987&lt;0,I987&lt;0,K987&lt;0),"UNMOEGLICH","OK"))</f>
        <v/>
      </c>
    </row>
    <row r="988">
      <c r="A988" s="7">
        <f>IF(ROW()-1&lt;=Eingabe!$B$4-Eingabe!$B$3+1,Eingabe!$B$3+ROW()-2,"")</f>
        <v/>
      </c>
      <c r="B988" s="5">
        <f>IF(A988="","",TEXT(A988,"yyyy-mm-dd"))</f>
        <v/>
      </c>
      <c r="C988" s="5">
        <f>IF(A988="","",TEXT(A988,"ddd"))</f>
        <v/>
      </c>
      <c r="D988" s="5">
        <f>IF(A988="","",TEXT(A988,"yyyy-mm"))</f>
        <v/>
      </c>
      <c r="E988" s="5">
        <f>IF(A988="","",IF(A988&lt;Eingabe!$B$5,"",INT((A988-Eingabe!$B$5)/(Eingabe!$B$6*7))+1))</f>
        <v/>
      </c>
      <c r="F988" s="8">
        <f>IF(A988="","",SUMPRODUCT((Eingabe!$B$16:$B$165&lt;&gt;"")*(Eingabe!$J$16:$J$165)*--(A988&gt;=Eingabe!$G$16:$G$165)*--(A988&lt;=Eingabe!$H$16:$H$165)*--(WEEKDAY(A988,2)&lt;=5)))</f>
        <v/>
      </c>
      <c r="G988" s="8">
        <f>IF(A988="","",SUM($F$2:F988))</f>
        <v/>
      </c>
      <c r="H988" s="8">
        <f>IF(A988="","",Eingabe!$B$7-G988)</f>
        <v/>
      </c>
      <c r="I988" s="8">
        <f>IF(A988="","",Eingabe!$B$8-SUMIFS($F$2:F988,$D$2:D988,D988))</f>
        <v/>
      </c>
      <c r="J988" s="8">
        <f>IF(A988="","",IF(E988="",1E+99,IFERROR(VLOOKUP(E988,Eingabe!$D$5:$E$44,2,FALSE),Eingabe!$B$9)))</f>
        <v/>
      </c>
      <c r="K988" s="8">
        <f>IF(A988="","",IF(E988="",1E+99,J988-SUMIFS($F$2:F988,$E$2:E988,E988)))</f>
        <v/>
      </c>
      <c r="L988" s="5">
        <f>IF(A988="","",IF(OR(H988&lt;0,I988&lt;0,K988&lt;0),"UNMOEGLICH","OK"))</f>
        <v/>
      </c>
    </row>
    <row r="989">
      <c r="A989" s="7">
        <f>IF(ROW()-1&lt;=Eingabe!$B$4-Eingabe!$B$3+1,Eingabe!$B$3+ROW()-2,"")</f>
        <v/>
      </c>
      <c r="B989" s="5">
        <f>IF(A989="","",TEXT(A989,"yyyy-mm-dd"))</f>
        <v/>
      </c>
      <c r="C989" s="5">
        <f>IF(A989="","",TEXT(A989,"ddd"))</f>
        <v/>
      </c>
      <c r="D989" s="5">
        <f>IF(A989="","",TEXT(A989,"yyyy-mm"))</f>
        <v/>
      </c>
      <c r="E989" s="5">
        <f>IF(A989="","",IF(A989&lt;Eingabe!$B$5,"",INT((A989-Eingabe!$B$5)/(Eingabe!$B$6*7))+1))</f>
        <v/>
      </c>
      <c r="F989" s="8">
        <f>IF(A989="","",SUMPRODUCT((Eingabe!$B$16:$B$165&lt;&gt;"")*(Eingabe!$J$16:$J$165)*--(A989&gt;=Eingabe!$G$16:$G$165)*--(A989&lt;=Eingabe!$H$16:$H$165)*--(WEEKDAY(A989,2)&lt;=5)))</f>
        <v/>
      </c>
      <c r="G989" s="8">
        <f>IF(A989="","",SUM($F$2:F989))</f>
        <v/>
      </c>
      <c r="H989" s="8">
        <f>IF(A989="","",Eingabe!$B$7-G989)</f>
        <v/>
      </c>
      <c r="I989" s="8">
        <f>IF(A989="","",Eingabe!$B$8-SUMIFS($F$2:F989,$D$2:D989,D989))</f>
        <v/>
      </c>
      <c r="J989" s="8">
        <f>IF(A989="","",IF(E989="",1E+99,IFERROR(VLOOKUP(E989,Eingabe!$D$5:$E$44,2,FALSE),Eingabe!$B$9)))</f>
        <v/>
      </c>
      <c r="K989" s="8">
        <f>IF(A989="","",IF(E989="",1E+99,J989-SUMIFS($F$2:F989,$E$2:E989,E989)))</f>
        <v/>
      </c>
      <c r="L989" s="5">
        <f>IF(A989="","",IF(OR(H989&lt;0,I989&lt;0,K989&lt;0),"UNMOEGLICH","OK"))</f>
        <v/>
      </c>
    </row>
    <row r="990">
      <c r="A990" s="7">
        <f>IF(ROW()-1&lt;=Eingabe!$B$4-Eingabe!$B$3+1,Eingabe!$B$3+ROW()-2,"")</f>
        <v/>
      </c>
      <c r="B990" s="5">
        <f>IF(A990="","",TEXT(A990,"yyyy-mm-dd"))</f>
        <v/>
      </c>
      <c r="C990" s="5">
        <f>IF(A990="","",TEXT(A990,"ddd"))</f>
        <v/>
      </c>
      <c r="D990" s="5">
        <f>IF(A990="","",TEXT(A990,"yyyy-mm"))</f>
        <v/>
      </c>
      <c r="E990" s="5">
        <f>IF(A990="","",IF(A990&lt;Eingabe!$B$5,"",INT((A990-Eingabe!$B$5)/(Eingabe!$B$6*7))+1))</f>
        <v/>
      </c>
      <c r="F990" s="8">
        <f>IF(A990="","",SUMPRODUCT((Eingabe!$B$16:$B$165&lt;&gt;"")*(Eingabe!$J$16:$J$165)*--(A990&gt;=Eingabe!$G$16:$G$165)*--(A990&lt;=Eingabe!$H$16:$H$165)*--(WEEKDAY(A990,2)&lt;=5)))</f>
        <v/>
      </c>
      <c r="G990" s="8">
        <f>IF(A990="","",SUM($F$2:F990))</f>
        <v/>
      </c>
      <c r="H990" s="8">
        <f>IF(A990="","",Eingabe!$B$7-G990)</f>
        <v/>
      </c>
      <c r="I990" s="8">
        <f>IF(A990="","",Eingabe!$B$8-SUMIFS($F$2:F990,$D$2:D990,D990))</f>
        <v/>
      </c>
      <c r="J990" s="8">
        <f>IF(A990="","",IF(E990="",1E+99,IFERROR(VLOOKUP(E990,Eingabe!$D$5:$E$44,2,FALSE),Eingabe!$B$9)))</f>
        <v/>
      </c>
      <c r="K990" s="8">
        <f>IF(A990="","",IF(E990="",1E+99,J990-SUMIFS($F$2:F990,$E$2:E990,E990)))</f>
        <v/>
      </c>
      <c r="L990" s="5">
        <f>IF(A990="","",IF(OR(H990&lt;0,I990&lt;0,K990&lt;0),"UNMOEGLICH","OK"))</f>
        <v/>
      </c>
    </row>
    <row r="991">
      <c r="A991" s="7">
        <f>IF(ROW()-1&lt;=Eingabe!$B$4-Eingabe!$B$3+1,Eingabe!$B$3+ROW()-2,"")</f>
        <v/>
      </c>
      <c r="B991" s="5">
        <f>IF(A991="","",TEXT(A991,"yyyy-mm-dd"))</f>
        <v/>
      </c>
      <c r="C991" s="5">
        <f>IF(A991="","",TEXT(A991,"ddd"))</f>
        <v/>
      </c>
      <c r="D991" s="5">
        <f>IF(A991="","",TEXT(A991,"yyyy-mm"))</f>
        <v/>
      </c>
      <c r="E991" s="5">
        <f>IF(A991="","",IF(A991&lt;Eingabe!$B$5,"",INT((A991-Eingabe!$B$5)/(Eingabe!$B$6*7))+1))</f>
        <v/>
      </c>
      <c r="F991" s="8">
        <f>IF(A991="","",SUMPRODUCT((Eingabe!$B$16:$B$165&lt;&gt;"")*(Eingabe!$J$16:$J$165)*--(A991&gt;=Eingabe!$G$16:$G$165)*--(A991&lt;=Eingabe!$H$16:$H$165)*--(WEEKDAY(A991,2)&lt;=5)))</f>
        <v/>
      </c>
      <c r="G991" s="8">
        <f>IF(A991="","",SUM($F$2:F991))</f>
        <v/>
      </c>
      <c r="H991" s="8">
        <f>IF(A991="","",Eingabe!$B$7-G991)</f>
        <v/>
      </c>
      <c r="I991" s="8">
        <f>IF(A991="","",Eingabe!$B$8-SUMIFS($F$2:F991,$D$2:D991,D991))</f>
        <v/>
      </c>
      <c r="J991" s="8">
        <f>IF(A991="","",IF(E991="",1E+99,IFERROR(VLOOKUP(E991,Eingabe!$D$5:$E$44,2,FALSE),Eingabe!$B$9)))</f>
        <v/>
      </c>
      <c r="K991" s="8">
        <f>IF(A991="","",IF(E991="",1E+99,J991-SUMIFS($F$2:F991,$E$2:E991,E991)))</f>
        <v/>
      </c>
      <c r="L991" s="5">
        <f>IF(A991="","",IF(OR(H991&lt;0,I991&lt;0,K991&lt;0),"UNMOEGLICH","OK"))</f>
        <v/>
      </c>
    </row>
    <row r="992">
      <c r="A992" s="7">
        <f>IF(ROW()-1&lt;=Eingabe!$B$4-Eingabe!$B$3+1,Eingabe!$B$3+ROW()-2,"")</f>
        <v/>
      </c>
      <c r="B992" s="5">
        <f>IF(A992="","",TEXT(A992,"yyyy-mm-dd"))</f>
        <v/>
      </c>
      <c r="C992" s="5">
        <f>IF(A992="","",TEXT(A992,"ddd"))</f>
        <v/>
      </c>
      <c r="D992" s="5">
        <f>IF(A992="","",TEXT(A992,"yyyy-mm"))</f>
        <v/>
      </c>
      <c r="E992" s="5">
        <f>IF(A992="","",IF(A992&lt;Eingabe!$B$5,"",INT((A992-Eingabe!$B$5)/(Eingabe!$B$6*7))+1))</f>
        <v/>
      </c>
      <c r="F992" s="8">
        <f>IF(A992="","",SUMPRODUCT((Eingabe!$B$16:$B$165&lt;&gt;"")*(Eingabe!$J$16:$J$165)*--(A992&gt;=Eingabe!$G$16:$G$165)*--(A992&lt;=Eingabe!$H$16:$H$165)*--(WEEKDAY(A992,2)&lt;=5)))</f>
        <v/>
      </c>
      <c r="G992" s="8">
        <f>IF(A992="","",SUM($F$2:F992))</f>
        <v/>
      </c>
      <c r="H992" s="8">
        <f>IF(A992="","",Eingabe!$B$7-G992)</f>
        <v/>
      </c>
      <c r="I992" s="8">
        <f>IF(A992="","",Eingabe!$B$8-SUMIFS($F$2:F992,$D$2:D992,D992))</f>
        <v/>
      </c>
      <c r="J992" s="8">
        <f>IF(A992="","",IF(E992="",1E+99,IFERROR(VLOOKUP(E992,Eingabe!$D$5:$E$44,2,FALSE),Eingabe!$B$9)))</f>
        <v/>
      </c>
      <c r="K992" s="8">
        <f>IF(A992="","",IF(E992="",1E+99,J992-SUMIFS($F$2:F992,$E$2:E992,E992)))</f>
        <v/>
      </c>
      <c r="L992" s="5">
        <f>IF(A992="","",IF(OR(H992&lt;0,I992&lt;0,K992&lt;0),"UNMOEGLICH","OK"))</f>
        <v/>
      </c>
    </row>
    <row r="993">
      <c r="A993" s="7">
        <f>IF(ROW()-1&lt;=Eingabe!$B$4-Eingabe!$B$3+1,Eingabe!$B$3+ROW()-2,"")</f>
        <v/>
      </c>
      <c r="B993" s="5">
        <f>IF(A993="","",TEXT(A993,"yyyy-mm-dd"))</f>
        <v/>
      </c>
      <c r="C993" s="5">
        <f>IF(A993="","",TEXT(A993,"ddd"))</f>
        <v/>
      </c>
      <c r="D993" s="5">
        <f>IF(A993="","",TEXT(A993,"yyyy-mm"))</f>
        <v/>
      </c>
      <c r="E993" s="5">
        <f>IF(A993="","",IF(A993&lt;Eingabe!$B$5,"",INT((A993-Eingabe!$B$5)/(Eingabe!$B$6*7))+1))</f>
        <v/>
      </c>
      <c r="F993" s="8">
        <f>IF(A993="","",SUMPRODUCT((Eingabe!$B$16:$B$165&lt;&gt;"")*(Eingabe!$J$16:$J$165)*--(A993&gt;=Eingabe!$G$16:$G$165)*--(A993&lt;=Eingabe!$H$16:$H$165)*--(WEEKDAY(A993,2)&lt;=5)))</f>
        <v/>
      </c>
      <c r="G993" s="8">
        <f>IF(A993="","",SUM($F$2:F993))</f>
        <v/>
      </c>
      <c r="H993" s="8">
        <f>IF(A993="","",Eingabe!$B$7-G993)</f>
        <v/>
      </c>
      <c r="I993" s="8">
        <f>IF(A993="","",Eingabe!$B$8-SUMIFS($F$2:F993,$D$2:D993,D993))</f>
        <v/>
      </c>
      <c r="J993" s="8">
        <f>IF(A993="","",IF(E993="",1E+99,IFERROR(VLOOKUP(E993,Eingabe!$D$5:$E$44,2,FALSE),Eingabe!$B$9)))</f>
        <v/>
      </c>
      <c r="K993" s="8">
        <f>IF(A993="","",IF(E993="",1E+99,J993-SUMIFS($F$2:F993,$E$2:E993,E993)))</f>
        <v/>
      </c>
      <c r="L993" s="5">
        <f>IF(A993="","",IF(OR(H993&lt;0,I993&lt;0,K993&lt;0),"UNMOEGLICH","OK"))</f>
        <v/>
      </c>
    </row>
    <row r="994">
      <c r="A994" s="7">
        <f>IF(ROW()-1&lt;=Eingabe!$B$4-Eingabe!$B$3+1,Eingabe!$B$3+ROW()-2,"")</f>
        <v/>
      </c>
      <c r="B994" s="5">
        <f>IF(A994="","",TEXT(A994,"yyyy-mm-dd"))</f>
        <v/>
      </c>
      <c r="C994" s="5">
        <f>IF(A994="","",TEXT(A994,"ddd"))</f>
        <v/>
      </c>
      <c r="D994" s="5">
        <f>IF(A994="","",TEXT(A994,"yyyy-mm"))</f>
        <v/>
      </c>
      <c r="E994" s="5">
        <f>IF(A994="","",IF(A994&lt;Eingabe!$B$5,"",INT((A994-Eingabe!$B$5)/(Eingabe!$B$6*7))+1))</f>
        <v/>
      </c>
      <c r="F994" s="8">
        <f>IF(A994="","",SUMPRODUCT((Eingabe!$B$16:$B$165&lt;&gt;"")*(Eingabe!$J$16:$J$165)*--(A994&gt;=Eingabe!$G$16:$G$165)*--(A994&lt;=Eingabe!$H$16:$H$165)*--(WEEKDAY(A994,2)&lt;=5)))</f>
        <v/>
      </c>
      <c r="G994" s="8">
        <f>IF(A994="","",SUM($F$2:F994))</f>
        <v/>
      </c>
      <c r="H994" s="8">
        <f>IF(A994="","",Eingabe!$B$7-G994)</f>
        <v/>
      </c>
      <c r="I994" s="8">
        <f>IF(A994="","",Eingabe!$B$8-SUMIFS($F$2:F994,$D$2:D994,D994))</f>
        <v/>
      </c>
      <c r="J994" s="8">
        <f>IF(A994="","",IF(E994="",1E+99,IFERROR(VLOOKUP(E994,Eingabe!$D$5:$E$44,2,FALSE),Eingabe!$B$9)))</f>
        <v/>
      </c>
      <c r="K994" s="8">
        <f>IF(A994="","",IF(E994="",1E+99,J994-SUMIFS($F$2:F994,$E$2:E994,E994)))</f>
        <v/>
      </c>
      <c r="L994" s="5">
        <f>IF(A994="","",IF(OR(H994&lt;0,I994&lt;0,K994&lt;0),"UNMOEGLICH","OK"))</f>
        <v/>
      </c>
    </row>
    <row r="995">
      <c r="A995" s="7">
        <f>IF(ROW()-1&lt;=Eingabe!$B$4-Eingabe!$B$3+1,Eingabe!$B$3+ROW()-2,"")</f>
        <v/>
      </c>
      <c r="B995" s="5">
        <f>IF(A995="","",TEXT(A995,"yyyy-mm-dd"))</f>
        <v/>
      </c>
      <c r="C995" s="5">
        <f>IF(A995="","",TEXT(A995,"ddd"))</f>
        <v/>
      </c>
      <c r="D995" s="5">
        <f>IF(A995="","",TEXT(A995,"yyyy-mm"))</f>
        <v/>
      </c>
      <c r="E995" s="5">
        <f>IF(A995="","",IF(A995&lt;Eingabe!$B$5,"",INT((A995-Eingabe!$B$5)/(Eingabe!$B$6*7))+1))</f>
        <v/>
      </c>
      <c r="F995" s="8">
        <f>IF(A995="","",SUMPRODUCT((Eingabe!$B$16:$B$165&lt;&gt;"")*(Eingabe!$J$16:$J$165)*--(A995&gt;=Eingabe!$G$16:$G$165)*--(A995&lt;=Eingabe!$H$16:$H$165)*--(WEEKDAY(A995,2)&lt;=5)))</f>
        <v/>
      </c>
      <c r="G995" s="8">
        <f>IF(A995="","",SUM($F$2:F995))</f>
        <v/>
      </c>
      <c r="H995" s="8">
        <f>IF(A995="","",Eingabe!$B$7-G995)</f>
        <v/>
      </c>
      <c r="I995" s="8">
        <f>IF(A995="","",Eingabe!$B$8-SUMIFS($F$2:F995,$D$2:D995,D995))</f>
        <v/>
      </c>
      <c r="J995" s="8">
        <f>IF(A995="","",IF(E995="",1E+99,IFERROR(VLOOKUP(E995,Eingabe!$D$5:$E$44,2,FALSE),Eingabe!$B$9)))</f>
        <v/>
      </c>
      <c r="K995" s="8">
        <f>IF(A995="","",IF(E995="",1E+99,J995-SUMIFS($F$2:F995,$E$2:E995,E995)))</f>
        <v/>
      </c>
      <c r="L995" s="5">
        <f>IF(A995="","",IF(OR(H995&lt;0,I995&lt;0,K995&lt;0),"UNMOEGLICH","OK"))</f>
        <v/>
      </c>
    </row>
    <row r="996">
      <c r="A996" s="7">
        <f>IF(ROW()-1&lt;=Eingabe!$B$4-Eingabe!$B$3+1,Eingabe!$B$3+ROW()-2,"")</f>
        <v/>
      </c>
      <c r="B996" s="5">
        <f>IF(A996="","",TEXT(A996,"yyyy-mm-dd"))</f>
        <v/>
      </c>
      <c r="C996" s="5">
        <f>IF(A996="","",TEXT(A996,"ddd"))</f>
        <v/>
      </c>
      <c r="D996" s="5">
        <f>IF(A996="","",TEXT(A996,"yyyy-mm"))</f>
        <v/>
      </c>
      <c r="E996" s="5">
        <f>IF(A996="","",IF(A996&lt;Eingabe!$B$5,"",INT((A996-Eingabe!$B$5)/(Eingabe!$B$6*7))+1))</f>
        <v/>
      </c>
      <c r="F996" s="8">
        <f>IF(A996="","",SUMPRODUCT((Eingabe!$B$16:$B$165&lt;&gt;"")*(Eingabe!$J$16:$J$165)*--(A996&gt;=Eingabe!$G$16:$G$165)*--(A996&lt;=Eingabe!$H$16:$H$165)*--(WEEKDAY(A996,2)&lt;=5)))</f>
        <v/>
      </c>
      <c r="G996" s="8">
        <f>IF(A996="","",SUM($F$2:F996))</f>
        <v/>
      </c>
      <c r="H996" s="8">
        <f>IF(A996="","",Eingabe!$B$7-G996)</f>
        <v/>
      </c>
      <c r="I996" s="8">
        <f>IF(A996="","",Eingabe!$B$8-SUMIFS($F$2:F996,$D$2:D996,D996))</f>
        <v/>
      </c>
      <c r="J996" s="8">
        <f>IF(A996="","",IF(E996="",1E+99,IFERROR(VLOOKUP(E996,Eingabe!$D$5:$E$44,2,FALSE),Eingabe!$B$9)))</f>
        <v/>
      </c>
      <c r="K996" s="8">
        <f>IF(A996="","",IF(E996="",1E+99,J996-SUMIFS($F$2:F996,$E$2:E996,E996)))</f>
        <v/>
      </c>
      <c r="L996" s="5">
        <f>IF(A996="","",IF(OR(H996&lt;0,I996&lt;0,K996&lt;0),"UNMOEGLICH","OK"))</f>
        <v/>
      </c>
    </row>
    <row r="997">
      <c r="A997" s="7">
        <f>IF(ROW()-1&lt;=Eingabe!$B$4-Eingabe!$B$3+1,Eingabe!$B$3+ROW()-2,"")</f>
        <v/>
      </c>
      <c r="B997" s="5">
        <f>IF(A997="","",TEXT(A997,"yyyy-mm-dd"))</f>
        <v/>
      </c>
      <c r="C997" s="5">
        <f>IF(A997="","",TEXT(A997,"ddd"))</f>
        <v/>
      </c>
      <c r="D997" s="5">
        <f>IF(A997="","",TEXT(A997,"yyyy-mm"))</f>
        <v/>
      </c>
      <c r="E997" s="5">
        <f>IF(A997="","",IF(A997&lt;Eingabe!$B$5,"",INT((A997-Eingabe!$B$5)/(Eingabe!$B$6*7))+1))</f>
        <v/>
      </c>
      <c r="F997" s="8">
        <f>IF(A997="","",SUMPRODUCT((Eingabe!$B$16:$B$165&lt;&gt;"")*(Eingabe!$J$16:$J$165)*--(A997&gt;=Eingabe!$G$16:$G$165)*--(A997&lt;=Eingabe!$H$16:$H$165)*--(WEEKDAY(A997,2)&lt;=5)))</f>
        <v/>
      </c>
      <c r="G997" s="8">
        <f>IF(A997="","",SUM($F$2:F997))</f>
        <v/>
      </c>
      <c r="H997" s="8">
        <f>IF(A997="","",Eingabe!$B$7-G997)</f>
        <v/>
      </c>
      <c r="I997" s="8">
        <f>IF(A997="","",Eingabe!$B$8-SUMIFS($F$2:F997,$D$2:D997,D997))</f>
        <v/>
      </c>
      <c r="J997" s="8">
        <f>IF(A997="","",IF(E997="",1E+99,IFERROR(VLOOKUP(E997,Eingabe!$D$5:$E$44,2,FALSE),Eingabe!$B$9)))</f>
        <v/>
      </c>
      <c r="K997" s="8">
        <f>IF(A997="","",IF(E997="",1E+99,J997-SUMIFS($F$2:F997,$E$2:E997,E997)))</f>
        <v/>
      </c>
      <c r="L997" s="5">
        <f>IF(A997="","",IF(OR(H997&lt;0,I997&lt;0,K997&lt;0),"UNMOEGLICH","OK"))</f>
        <v/>
      </c>
    </row>
    <row r="998">
      <c r="A998" s="7">
        <f>IF(ROW()-1&lt;=Eingabe!$B$4-Eingabe!$B$3+1,Eingabe!$B$3+ROW()-2,"")</f>
        <v/>
      </c>
      <c r="B998" s="5">
        <f>IF(A998="","",TEXT(A998,"yyyy-mm-dd"))</f>
        <v/>
      </c>
      <c r="C998" s="5">
        <f>IF(A998="","",TEXT(A998,"ddd"))</f>
        <v/>
      </c>
      <c r="D998" s="5">
        <f>IF(A998="","",TEXT(A998,"yyyy-mm"))</f>
        <v/>
      </c>
      <c r="E998" s="5">
        <f>IF(A998="","",IF(A998&lt;Eingabe!$B$5,"",INT((A998-Eingabe!$B$5)/(Eingabe!$B$6*7))+1))</f>
        <v/>
      </c>
      <c r="F998" s="8">
        <f>IF(A998="","",SUMPRODUCT((Eingabe!$B$16:$B$165&lt;&gt;"")*(Eingabe!$J$16:$J$165)*--(A998&gt;=Eingabe!$G$16:$G$165)*--(A998&lt;=Eingabe!$H$16:$H$165)*--(WEEKDAY(A998,2)&lt;=5)))</f>
        <v/>
      </c>
      <c r="G998" s="8">
        <f>IF(A998="","",SUM($F$2:F998))</f>
        <v/>
      </c>
      <c r="H998" s="8">
        <f>IF(A998="","",Eingabe!$B$7-G998)</f>
        <v/>
      </c>
      <c r="I998" s="8">
        <f>IF(A998="","",Eingabe!$B$8-SUMIFS($F$2:F998,$D$2:D998,D998))</f>
        <v/>
      </c>
      <c r="J998" s="8">
        <f>IF(A998="","",IF(E998="",1E+99,IFERROR(VLOOKUP(E998,Eingabe!$D$5:$E$44,2,FALSE),Eingabe!$B$9)))</f>
        <v/>
      </c>
      <c r="K998" s="8">
        <f>IF(A998="","",IF(E998="",1E+99,J998-SUMIFS($F$2:F998,$E$2:E998,E998)))</f>
        <v/>
      </c>
      <c r="L998" s="5">
        <f>IF(A998="","",IF(OR(H998&lt;0,I998&lt;0,K998&lt;0),"UNMOEGLICH","OK"))</f>
        <v/>
      </c>
    </row>
    <row r="999">
      <c r="A999" s="7">
        <f>IF(ROW()-1&lt;=Eingabe!$B$4-Eingabe!$B$3+1,Eingabe!$B$3+ROW()-2,"")</f>
        <v/>
      </c>
      <c r="B999" s="5">
        <f>IF(A999="","",TEXT(A999,"yyyy-mm-dd"))</f>
        <v/>
      </c>
      <c r="C999" s="5">
        <f>IF(A999="","",TEXT(A999,"ddd"))</f>
        <v/>
      </c>
      <c r="D999" s="5">
        <f>IF(A999="","",TEXT(A999,"yyyy-mm"))</f>
        <v/>
      </c>
      <c r="E999" s="5">
        <f>IF(A999="","",IF(A999&lt;Eingabe!$B$5,"",INT((A999-Eingabe!$B$5)/(Eingabe!$B$6*7))+1))</f>
        <v/>
      </c>
      <c r="F999" s="8">
        <f>IF(A999="","",SUMPRODUCT((Eingabe!$B$16:$B$165&lt;&gt;"")*(Eingabe!$J$16:$J$165)*--(A999&gt;=Eingabe!$G$16:$G$165)*--(A999&lt;=Eingabe!$H$16:$H$165)*--(WEEKDAY(A999,2)&lt;=5)))</f>
        <v/>
      </c>
      <c r="G999" s="8">
        <f>IF(A999="","",SUM($F$2:F999))</f>
        <v/>
      </c>
      <c r="H999" s="8">
        <f>IF(A999="","",Eingabe!$B$7-G999)</f>
        <v/>
      </c>
      <c r="I999" s="8">
        <f>IF(A999="","",Eingabe!$B$8-SUMIFS($F$2:F999,$D$2:D999,D999))</f>
        <v/>
      </c>
      <c r="J999" s="8">
        <f>IF(A999="","",IF(E999="",1E+99,IFERROR(VLOOKUP(E999,Eingabe!$D$5:$E$44,2,FALSE),Eingabe!$B$9)))</f>
        <v/>
      </c>
      <c r="K999" s="8">
        <f>IF(A999="","",IF(E999="",1E+99,J999-SUMIFS($F$2:F999,$E$2:E999,E999)))</f>
        <v/>
      </c>
      <c r="L999" s="5">
        <f>IF(A999="","",IF(OR(H999&lt;0,I999&lt;0,K999&lt;0),"UNMOEGLICH","OK"))</f>
        <v/>
      </c>
    </row>
    <row r="1000">
      <c r="A1000" s="7">
        <f>IF(ROW()-1&lt;=Eingabe!$B$4-Eingabe!$B$3+1,Eingabe!$B$3+ROW()-2,"")</f>
        <v/>
      </c>
      <c r="B1000" s="5">
        <f>IF(A1000="","",TEXT(A1000,"yyyy-mm-dd"))</f>
        <v/>
      </c>
      <c r="C1000" s="5">
        <f>IF(A1000="","",TEXT(A1000,"ddd"))</f>
        <v/>
      </c>
      <c r="D1000" s="5">
        <f>IF(A1000="","",TEXT(A1000,"yyyy-mm"))</f>
        <v/>
      </c>
      <c r="E1000" s="5">
        <f>IF(A1000="","",IF(A1000&lt;Eingabe!$B$5,"",INT((A1000-Eingabe!$B$5)/(Eingabe!$B$6*7))+1))</f>
        <v/>
      </c>
      <c r="F1000" s="8">
        <f>IF(A1000="","",SUMPRODUCT((Eingabe!$B$16:$B$165&lt;&gt;"")*(Eingabe!$J$16:$J$165)*--(A1000&gt;=Eingabe!$G$16:$G$165)*--(A1000&lt;=Eingabe!$H$16:$H$165)*--(WEEKDAY(A1000,2)&lt;=5)))</f>
        <v/>
      </c>
      <c r="G1000" s="8">
        <f>IF(A1000="","",SUM($F$2:F1000))</f>
        <v/>
      </c>
      <c r="H1000" s="8">
        <f>IF(A1000="","",Eingabe!$B$7-G1000)</f>
        <v/>
      </c>
      <c r="I1000" s="8">
        <f>IF(A1000="","",Eingabe!$B$8-SUMIFS($F$2:F1000,$D$2:D1000,D1000))</f>
        <v/>
      </c>
      <c r="J1000" s="8">
        <f>IF(A1000="","",IF(E1000="",1E+99,IFERROR(VLOOKUP(E1000,Eingabe!$D$5:$E$44,2,FALSE),Eingabe!$B$9)))</f>
        <v/>
      </c>
      <c r="K1000" s="8">
        <f>IF(A1000="","",IF(E1000="",1E+99,J1000-SUMIFS($F$2:F1000,$E$2:E1000,E1000)))</f>
        <v/>
      </c>
      <c r="L1000" s="5">
        <f>IF(A1000="","",IF(OR(H1000&lt;0,I1000&lt;0,K1000&lt;0),"UNMOEGLICH","OK"))</f>
        <v/>
      </c>
    </row>
    <row r="1001">
      <c r="A1001" s="7">
        <f>IF(ROW()-1&lt;=Eingabe!$B$4-Eingabe!$B$3+1,Eingabe!$B$3+ROW()-2,"")</f>
        <v/>
      </c>
      <c r="B1001" s="5">
        <f>IF(A1001="","",TEXT(A1001,"yyyy-mm-dd"))</f>
        <v/>
      </c>
      <c r="C1001" s="5">
        <f>IF(A1001="","",TEXT(A1001,"ddd"))</f>
        <v/>
      </c>
      <c r="D1001" s="5">
        <f>IF(A1001="","",TEXT(A1001,"yyyy-mm"))</f>
        <v/>
      </c>
      <c r="E1001" s="5">
        <f>IF(A1001="","",IF(A1001&lt;Eingabe!$B$5,"",INT((A1001-Eingabe!$B$5)/(Eingabe!$B$6*7))+1))</f>
        <v/>
      </c>
      <c r="F1001" s="8">
        <f>IF(A1001="","",SUMPRODUCT((Eingabe!$B$16:$B$165&lt;&gt;"")*(Eingabe!$J$16:$J$165)*--(A1001&gt;=Eingabe!$G$16:$G$165)*--(A1001&lt;=Eingabe!$H$16:$H$165)*--(WEEKDAY(A1001,2)&lt;=5)))</f>
        <v/>
      </c>
      <c r="G1001" s="8">
        <f>IF(A1001="","",SUM($F$2:F1001))</f>
        <v/>
      </c>
      <c r="H1001" s="8">
        <f>IF(A1001="","",Eingabe!$B$7-G1001)</f>
        <v/>
      </c>
      <c r="I1001" s="8">
        <f>IF(A1001="","",Eingabe!$B$8-SUMIFS($F$2:F1001,$D$2:D1001,D1001))</f>
        <v/>
      </c>
      <c r="J1001" s="8">
        <f>IF(A1001="","",IF(E1001="",1E+99,IFERROR(VLOOKUP(E1001,Eingabe!$D$5:$E$44,2,FALSE),Eingabe!$B$9)))</f>
        <v/>
      </c>
      <c r="K1001" s="8">
        <f>IF(A1001="","",IF(E1001="",1E+99,J1001-SUMIFS($F$2:F1001,$E$2:E1001,E1001)))</f>
        <v/>
      </c>
      <c r="L1001" s="5">
        <f>IF(A1001="","",IF(OR(H1001&lt;0,I1001&lt;0,K1001&lt;0),"UNMOEGLICH","OK"))</f>
        <v/>
      </c>
    </row>
  </sheetData>
  <conditionalFormatting sqref="A2:L1001">
    <cfRule type="expression" priority="1" dxfId="0">
      <formula>$L2="OK"</formula>
    </cfRule>
    <cfRule type="expression" priority="2" dxfId="1">
      <formula>$L2="UNMOEGLICH"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Budget/Sprint Dashboard - Monat</t>
        </is>
      </c>
    </row>
    <row r="2">
      <c r="A2" t="inlineStr">
        <is>
          <t>Kalender:</t>
        </is>
      </c>
      <c r="B2" s="2">
        <f>TEXT(Eingabe!$B$10,"mmmm yyyy")</f>
        <v/>
      </c>
      <c r="E2" s="2" t="inlineStr">
        <is>
          <t>Status Gesamt</t>
        </is>
      </c>
      <c r="F2" s="9">
        <f>IF(IFERROR(MATCH("UNMOEGLICH",DailyPlan!$L$2:$L$1001,0),0)=0,"OK","UNMOEGLICH")</f>
        <v/>
      </c>
    </row>
    <row r="3">
      <c r="E3" s="2" t="inlineStr">
        <is>
          <t>Budgetbruch ab</t>
        </is>
      </c>
      <c r="F3" s="10">
        <f>IFERROR(INDEX(DailyPlan!$A$2:$A$1001,MATCH("UNMOEGLICH",DailyPlan!$L$2:$L$1001,0)),"")</f>
        <v/>
      </c>
    </row>
    <row r="4">
      <c r="A4" s="11" t="inlineStr">
        <is>
          <t>Mo</t>
        </is>
      </c>
      <c r="B4" s="11" t="inlineStr">
        <is>
          <t>Di</t>
        </is>
      </c>
      <c r="C4" s="11" t="inlineStr">
        <is>
          <t>Mi</t>
        </is>
      </c>
      <c r="D4" s="11" t="inlineStr">
        <is>
          <t>Do</t>
        </is>
      </c>
      <c r="E4" s="11" t="inlineStr">
        <is>
          <t>Fr</t>
        </is>
      </c>
      <c r="F4" s="12" t="inlineStr">
        <is>
          <t>Sa</t>
        </is>
      </c>
      <c r="G4" s="11" t="inlineStr">
        <is>
          <t>So</t>
        </is>
      </c>
      <c r="I4" s="2" t="inlineStr">
        <is>
          <t>Details zum ausgewählten Tag</t>
        </is>
      </c>
    </row>
    <row r="5">
      <c r="I5" s="2" t="inlineStr">
        <is>
          <t>Datum</t>
        </is>
      </c>
      <c r="J5" s="10">
        <f>Eingabe!$B$11</f>
        <v/>
      </c>
    </row>
    <row r="6">
      <c r="A6" s="13">
        <f>Eingabe!$B$10-WEEKDAY(Eingabe!$B$10,2)+1</f>
        <v/>
      </c>
      <c r="B6" s="13">
        <f>A6+1</f>
        <v/>
      </c>
      <c r="C6" s="13">
        <f>B6+1</f>
        <v/>
      </c>
      <c r="D6" s="13">
        <f>C6+1</f>
        <v/>
      </c>
      <c r="E6" s="13">
        <f>D6+1</f>
        <v/>
      </c>
      <c r="F6" s="13">
        <f>E6+1</f>
        <v/>
      </c>
      <c r="G6" s="13">
        <f>F6+1</f>
        <v/>
      </c>
      <c r="I6" s="2" t="inlineStr">
        <is>
          <t>Sprint</t>
        </is>
      </c>
      <c r="J6" s="9">
        <f>IFERROR(INDEX(DailyPlan!$E$2:$E$1001,MATCH($J$5,DailyPlan!$A$2:$A$1001,0)),"-")</f>
        <v/>
      </c>
    </row>
    <row r="7">
      <c r="A7" s="13">
        <f>A6+7</f>
        <v/>
      </c>
      <c r="B7" s="13">
        <f>A7+1</f>
        <v/>
      </c>
      <c r="C7" s="13">
        <f>B7+1</f>
        <v/>
      </c>
      <c r="D7" s="13">
        <f>C7+1</f>
        <v/>
      </c>
      <c r="E7" s="13">
        <f>D7+1</f>
        <v/>
      </c>
      <c r="F7" s="13">
        <f>E7+1</f>
        <v/>
      </c>
      <c r="G7" s="13">
        <f>F7+1</f>
        <v/>
      </c>
      <c r="I7" s="2" t="inlineStr">
        <is>
          <t>Geplant heute</t>
        </is>
      </c>
      <c r="J7" s="14">
        <f>IFERROR(INDEX(DailyPlan!$F$2:$F$1001,MATCH($J$5,DailyPlan!$A$2:$A$1001,0)),0)</f>
        <v/>
      </c>
    </row>
    <row r="8">
      <c r="A8" s="13">
        <f>A7+7</f>
        <v/>
      </c>
      <c r="B8" s="13">
        <f>A8+1</f>
        <v/>
      </c>
      <c r="C8" s="13">
        <f>B8+1</f>
        <v/>
      </c>
      <c r="D8" s="13">
        <f>C8+1</f>
        <v/>
      </c>
      <c r="E8" s="13">
        <f>D8+1</f>
        <v/>
      </c>
      <c r="F8" s="13">
        <f>E8+1</f>
        <v/>
      </c>
      <c r="G8" s="13">
        <f>F8+1</f>
        <v/>
      </c>
      <c r="I8" s="2" t="inlineStr">
        <is>
          <t>Rest Sprint</t>
        </is>
      </c>
      <c r="J8" s="14">
        <f>IFERROR(INDEX(DailyPlan!$K$2:$K$1001,MATCH($J$5,DailyPlan!$A$2:$A$1001,0)),0)</f>
        <v/>
      </c>
    </row>
    <row r="9">
      <c r="A9" s="13">
        <f>A8+7</f>
        <v/>
      </c>
      <c r="B9" s="13">
        <f>A9+1</f>
        <v/>
      </c>
      <c r="C9" s="13">
        <f>B9+1</f>
        <v/>
      </c>
      <c r="D9" s="13">
        <f>C9+1</f>
        <v/>
      </c>
      <c r="E9" s="13">
        <f>D9+1</f>
        <v/>
      </c>
      <c r="F9" s="13">
        <f>E9+1</f>
        <v/>
      </c>
      <c r="G9" s="13">
        <f>F9+1</f>
        <v/>
      </c>
      <c r="I9" s="2" t="inlineStr">
        <is>
          <t>Rest Monat</t>
        </is>
      </c>
      <c r="J9" s="14">
        <f>IFERROR(INDEX(DailyPlan!$I$2:$I$1001,MATCH($J$5,DailyPlan!$A$2:$A$1001,0)),0)</f>
        <v/>
      </c>
    </row>
    <row r="10">
      <c r="A10" s="13">
        <f>A9+7</f>
        <v/>
      </c>
      <c r="B10" s="13">
        <f>A10+1</f>
        <v/>
      </c>
      <c r="C10" s="13">
        <f>B10+1</f>
        <v/>
      </c>
      <c r="D10" s="13">
        <f>C10+1</f>
        <v/>
      </c>
      <c r="E10" s="13">
        <f>D10+1</f>
        <v/>
      </c>
      <c r="F10" s="13">
        <f>E10+1</f>
        <v/>
      </c>
      <c r="G10" s="13">
        <f>F10+1</f>
        <v/>
      </c>
      <c r="I10" s="2" t="inlineStr">
        <is>
          <t>Rest Gesamt</t>
        </is>
      </c>
      <c r="J10" s="14">
        <f>IFERROR(INDEX(DailyPlan!$H$2:$H$1001,MATCH($J$5,DailyPlan!$A$2:$A$1001,0)),0)</f>
        <v/>
      </c>
    </row>
    <row r="11">
      <c r="A11" s="13">
        <f>A10+7</f>
        <v/>
      </c>
      <c r="B11" s="13">
        <f>A11+1</f>
        <v/>
      </c>
      <c r="C11" s="13">
        <f>B11+1</f>
        <v/>
      </c>
      <c r="D11" s="13">
        <f>C11+1</f>
        <v/>
      </c>
      <c r="E11" s="13">
        <f>D11+1</f>
        <v/>
      </c>
      <c r="F11" s="13">
        <f>E11+1</f>
        <v/>
      </c>
      <c r="G11" s="13">
        <f>F11+1</f>
        <v/>
      </c>
      <c r="I11" s="2" t="inlineStr">
        <is>
          <t>Status</t>
        </is>
      </c>
      <c r="J11" s="9">
        <f>IFERROR(INDEX(DailyPlan!$L$2:$L$1001,MATCH($J$5,DailyPlan!$A$2:$A$1001,0)),"")</f>
        <v/>
      </c>
    </row>
    <row r="13" ht="55" customHeight="1">
      <c r="A13" s="15">
        <f>IF(A6="","",TEXT(A6,"d")&amp;CHAR(10)&amp;"Sprint "&amp;IFERROR(INDEX(DailyPlan!$E$2:$E$1001,MATCH(A6,DailyPlan!$A$2:$A$1001,0)),"-")&amp;CHAR(10)&amp;TEXT(IFERROR(INDEX(DailyPlan!$F$2:$F$1001,MATCH(A6,DailyPlan!$A$2:$A$1001,0)),0),"0.0")&amp;"h")</f>
        <v/>
      </c>
      <c r="B13" s="15">
        <f>IF(B6="","",TEXT(B6,"d")&amp;CHAR(10)&amp;"Sprint "&amp;IFERROR(INDEX(DailyPlan!$E$2:$E$1001,MATCH(B6,DailyPlan!$A$2:$A$1001,0)),"-")&amp;CHAR(10)&amp;TEXT(IFERROR(INDEX(DailyPlan!$F$2:$F$1001,MATCH(B6,DailyPlan!$A$2:$A$1001,0)),0),"0.0")&amp;"h")</f>
        <v/>
      </c>
      <c r="C13" s="15">
        <f>IF(C6="","",TEXT(C6,"d")&amp;CHAR(10)&amp;"Sprint "&amp;IFERROR(INDEX(DailyPlan!$E$2:$E$1001,MATCH(C6,DailyPlan!$A$2:$A$1001,0)),"-")&amp;CHAR(10)&amp;TEXT(IFERROR(INDEX(DailyPlan!$F$2:$F$1001,MATCH(C6,DailyPlan!$A$2:$A$1001,0)),0),"0.0")&amp;"h")</f>
        <v/>
      </c>
      <c r="D13" s="15">
        <f>IF(D6="","",TEXT(D6,"d")&amp;CHAR(10)&amp;"Sprint "&amp;IFERROR(INDEX(DailyPlan!$E$2:$E$1001,MATCH(D6,DailyPlan!$A$2:$A$1001,0)),"-")&amp;CHAR(10)&amp;TEXT(IFERROR(INDEX(DailyPlan!$F$2:$F$1001,MATCH(D6,DailyPlan!$A$2:$A$1001,0)),0),"0.0")&amp;"h")</f>
        <v/>
      </c>
      <c r="E13" s="15">
        <f>IF(E6="","",TEXT(E6,"d")&amp;CHAR(10)&amp;"Sprint "&amp;IFERROR(INDEX(DailyPlan!$E$2:$E$1001,MATCH(E6,DailyPlan!$A$2:$A$1001,0)),"-")&amp;CHAR(10)&amp;TEXT(IFERROR(INDEX(DailyPlan!$F$2:$F$1001,MATCH(E6,DailyPlan!$A$2:$A$1001,0)),0),"0.0")&amp;"h")</f>
        <v/>
      </c>
      <c r="F13" s="15">
        <f>IF(F6="","",TEXT(F6,"d")&amp;CHAR(10)&amp;"Sprint "&amp;IFERROR(INDEX(DailyPlan!$E$2:$E$1001,MATCH(F6,DailyPlan!$A$2:$A$1001,0)),"-")&amp;CHAR(10)&amp;TEXT(IFERROR(INDEX(DailyPlan!$F$2:$F$1001,MATCH(F6,DailyPlan!$A$2:$A$1001,0)),0),"0.0")&amp;"h")</f>
        <v/>
      </c>
      <c r="G13" s="15">
        <f>IF(G6="","",TEXT(G6,"d")&amp;CHAR(10)&amp;"Sprint "&amp;IFERROR(INDEX(DailyPlan!$E$2:$E$1001,MATCH(G6,DailyPlan!$A$2:$A$1001,0)),"-")&amp;CHAR(10)&amp;TEXT(IFERROR(INDEX(DailyPlan!$F$2:$F$1001,MATCH(G6,DailyPlan!$A$2:$A$1001,0)),0),"0.0")&amp;"h")</f>
        <v/>
      </c>
    </row>
    <row r="14" ht="55" customHeight="1">
      <c r="A14" s="15">
        <f>IF(A7="","",TEXT(A7,"d")&amp;CHAR(10)&amp;"Sprint "&amp;IFERROR(INDEX(DailyPlan!$E$2:$E$1001,MATCH(A7,DailyPlan!$A$2:$A$1001,0)),"-")&amp;CHAR(10)&amp;TEXT(IFERROR(INDEX(DailyPlan!$F$2:$F$1001,MATCH(A7,DailyPlan!$A$2:$A$1001,0)),0),"0.0")&amp;"h")</f>
        <v/>
      </c>
      <c r="B14" s="15">
        <f>IF(B7="","",TEXT(B7,"d")&amp;CHAR(10)&amp;"Sprint "&amp;IFERROR(INDEX(DailyPlan!$E$2:$E$1001,MATCH(B7,DailyPlan!$A$2:$A$1001,0)),"-")&amp;CHAR(10)&amp;TEXT(IFERROR(INDEX(DailyPlan!$F$2:$F$1001,MATCH(B7,DailyPlan!$A$2:$A$1001,0)),0),"0.0")&amp;"h")</f>
        <v/>
      </c>
      <c r="C14" s="15">
        <f>IF(C7="","",TEXT(C7,"d")&amp;CHAR(10)&amp;"Sprint "&amp;IFERROR(INDEX(DailyPlan!$E$2:$E$1001,MATCH(C7,DailyPlan!$A$2:$A$1001,0)),"-")&amp;CHAR(10)&amp;TEXT(IFERROR(INDEX(DailyPlan!$F$2:$F$1001,MATCH(C7,DailyPlan!$A$2:$A$1001,0)),0),"0.0")&amp;"h")</f>
        <v/>
      </c>
      <c r="D14" s="15">
        <f>IF(D7="","",TEXT(D7,"d")&amp;CHAR(10)&amp;"Sprint "&amp;IFERROR(INDEX(DailyPlan!$E$2:$E$1001,MATCH(D7,DailyPlan!$A$2:$A$1001,0)),"-")&amp;CHAR(10)&amp;TEXT(IFERROR(INDEX(DailyPlan!$F$2:$F$1001,MATCH(D7,DailyPlan!$A$2:$A$1001,0)),0),"0.0")&amp;"h")</f>
        <v/>
      </c>
      <c r="E14" s="15">
        <f>IF(E7="","",TEXT(E7,"d")&amp;CHAR(10)&amp;"Sprint "&amp;IFERROR(INDEX(DailyPlan!$E$2:$E$1001,MATCH(E7,DailyPlan!$A$2:$A$1001,0)),"-")&amp;CHAR(10)&amp;TEXT(IFERROR(INDEX(DailyPlan!$F$2:$F$1001,MATCH(E7,DailyPlan!$A$2:$A$1001,0)),0),"0.0")&amp;"h")</f>
        <v/>
      </c>
      <c r="F14" s="15">
        <f>IF(F7="","",TEXT(F7,"d")&amp;CHAR(10)&amp;"Sprint "&amp;IFERROR(INDEX(DailyPlan!$E$2:$E$1001,MATCH(F7,DailyPlan!$A$2:$A$1001,0)),"-")&amp;CHAR(10)&amp;TEXT(IFERROR(INDEX(DailyPlan!$F$2:$F$1001,MATCH(F7,DailyPlan!$A$2:$A$1001,0)),0),"0.0")&amp;"h")</f>
        <v/>
      </c>
      <c r="G14" s="15">
        <f>IF(G7="","",TEXT(G7,"d")&amp;CHAR(10)&amp;"Sprint "&amp;IFERROR(INDEX(DailyPlan!$E$2:$E$1001,MATCH(G7,DailyPlan!$A$2:$A$1001,0)),"-")&amp;CHAR(10)&amp;TEXT(IFERROR(INDEX(DailyPlan!$F$2:$F$1001,MATCH(G7,DailyPlan!$A$2:$A$1001,0)),0),"0.0")&amp;"h")</f>
        <v/>
      </c>
    </row>
    <row r="15" ht="55" customHeight="1">
      <c r="A15" s="15">
        <f>IF(A8="","",TEXT(A8,"d")&amp;CHAR(10)&amp;"Sprint "&amp;IFERROR(INDEX(DailyPlan!$E$2:$E$1001,MATCH(A8,DailyPlan!$A$2:$A$1001,0)),"-")&amp;CHAR(10)&amp;TEXT(IFERROR(INDEX(DailyPlan!$F$2:$F$1001,MATCH(A8,DailyPlan!$A$2:$A$1001,0)),0),"0.0")&amp;"h")</f>
        <v/>
      </c>
      <c r="B15" s="15">
        <f>IF(B8="","",TEXT(B8,"d")&amp;CHAR(10)&amp;"Sprint "&amp;IFERROR(INDEX(DailyPlan!$E$2:$E$1001,MATCH(B8,DailyPlan!$A$2:$A$1001,0)),"-")&amp;CHAR(10)&amp;TEXT(IFERROR(INDEX(DailyPlan!$F$2:$F$1001,MATCH(B8,DailyPlan!$A$2:$A$1001,0)),0),"0.0")&amp;"h")</f>
        <v/>
      </c>
      <c r="C15" s="15">
        <f>IF(C8="","",TEXT(C8,"d")&amp;CHAR(10)&amp;"Sprint "&amp;IFERROR(INDEX(DailyPlan!$E$2:$E$1001,MATCH(C8,DailyPlan!$A$2:$A$1001,0)),"-")&amp;CHAR(10)&amp;TEXT(IFERROR(INDEX(DailyPlan!$F$2:$F$1001,MATCH(C8,DailyPlan!$A$2:$A$1001,0)),0),"0.0")&amp;"h")</f>
        <v/>
      </c>
      <c r="D15" s="15">
        <f>IF(D8="","",TEXT(D8,"d")&amp;CHAR(10)&amp;"Sprint "&amp;IFERROR(INDEX(DailyPlan!$E$2:$E$1001,MATCH(D8,DailyPlan!$A$2:$A$1001,0)),"-")&amp;CHAR(10)&amp;TEXT(IFERROR(INDEX(DailyPlan!$F$2:$F$1001,MATCH(D8,DailyPlan!$A$2:$A$1001,0)),0),"0.0")&amp;"h")</f>
        <v/>
      </c>
      <c r="E15" s="15">
        <f>IF(E8="","",TEXT(E8,"d")&amp;CHAR(10)&amp;"Sprint "&amp;IFERROR(INDEX(DailyPlan!$E$2:$E$1001,MATCH(E8,DailyPlan!$A$2:$A$1001,0)),"-")&amp;CHAR(10)&amp;TEXT(IFERROR(INDEX(DailyPlan!$F$2:$F$1001,MATCH(E8,DailyPlan!$A$2:$A$1001,0)),0),"0.0")&amp;"h")</f>
        <v/>
      </c>
      <c r="F15" s="15">
        <f>IF(F8="","",TEXT(F8,"d")&amp;CHAR(10)&amp;"Sprint "&amp;IFERROR(INDEX(DailyPlan!$E$2:$E$1001,MATCH(F8,DailyPlan!$A$2:$A$1001,0)),"-")&amp;CHAR(10)&amp;TEXT(IFERROR(INDEX(DailyPlan!$F$2:$F$1001,MATCH(F8,DailyPlan!$A$2:$A$1001,0)),0),"0.0")&amp;"h")</f>
        <v/>
      </c>
      <c r="G15" s="15">
        <f>IF(G8="","",TEXT(G8,"d")&amp;CHAR(10)&amp;"Sprint "&amp;IFERROR(INDEX(DailyPlan!$E$2:$E$1001,MATCH(G8,DailyPlan!$A$2:$A$1001,0)),"-")&amp;CHAR(10)&amp;TEXT(IFERROR(INDEX(DailyPlan!$F$2:$F$1001,MATCH(G8,DailyPlan!$A$2:$A$1001,0)),0),"0.0")&amp;"h")</f>
        <v/>
      </c>
    </row>
    <row r="16" ht="55" customHeight="1">
      <c r="A16" s="15">
        <f>IF(A9="","",TEXT(A9,"d")&amp;CHAR(10)&amp;"Sprint "&amp;IFERROR(INDEX(DailyPlan!$E$2:$E$1001,MATCH(A9,DailyPlan!$A$2:$A$1001,0)),"-")&amp;CHAR(10)&amp;TEXT(IFERROR(INDEX(DailyPlan!$F$2:$F$1001,MATCH(A9,DailyPlan!$A$2:$A$1001,0)),0),"0.0")&amp;"h")</f>
        <v/>
      </c>
      <c r="B16" s="15">
        <f>IF(B9="","",TEXT(B9,"d")&amp;CHAR(10)&amp;"Sprint "&amp;IFERROR(INDEX(DailyPlan!$E$2:$E$1001,MATCH(B9,DailyPlan!$A$2:$A$1001,0)),"-")&amp;CHAR(10)&amp;TEXT(IFERROR(INDEX(DailyPlan!$F$2:$F$1001,MATCH(B9,DailyPlan!$A$2:$A$1001,0)),0),"0.0")&amp;"h")</f>
        <v/>
      </c>
      <c r="C16" s="15">
        <f>IF(C9="","",TEXT(C9,"d")&amp;CHAR(10)&amp;"Sprint "&amp;IFERROR(INDEX(DailyPlan!$E$2:$E$1001,MATCH(C9,DailyPlan!$A$2:$A$1001,0)),"-")&amp;CHAR(10)&amp;TEXT(IFERROR(INDEX(DailyPlan!$F$2:$F$1001,MATCH(C9,DailyPlan!$A$2:$A$1001,0)),0),"0.0")&amp;"h")</f>
        <v/>
      </c>
      <c r="D16" s="15">
        <f>IF(D9="","",TEXT(D9,"d")&amp;CHAR(10)&amp;"Sprint "&amp;IFERROR(INDEX(DailyPlan!$E$2:$E$1001,MATCH(D9,DailyPlan!$A$2:$A$1001,0)),"-")&amp;CHAR(10)&amp;TEXT(IFERROR(INDEX(DailyPlan!$F$2:$F$1001,MATCH(D9,DailyPlan!$A$2:$A$1001,0)),0),"0.0")&amp;"h")</f>
        <v/>
      </c>
      <c r="E16" s="15">
        <f>IF(E9="","",TEXT(E9,"d")&amp;CHAR(10)&amp;"Sprint "&amp;IFERROR(INDEX(DailyPlan!$E$2:$E$1001,MATCH(E9,DailyPlan!$A$2:$A$1001,0)),"-")&amp;CHAR(10)&amp;TEXT(IFERROR(INDEX(DailyPlan!$F$2:$F$1001,MATCH(E9,DailyPlan!$A$2:$A$1001,0)),0),"0.0")&amp;"h")</f>
        <v/>
      </c>
      <c r="F16" s="15">
        <f>IF(F9="","",TEXT(F9,"d")&amp;CHAR(10)&amp;"Sprint "&amp;IFERROR(INDEX(DailyPlan!$E$2:$E$1001,MATCH(F9,DailyPlan!$A$2:$A$1001,0)),"-")&amp;CHAR(10)&amp;TEXT(IFERROR(INDEX(DailyPlan!$F$2:$F$1001,MATCH(F9,DailyPlan!$A$2:$A$1001,0)),0),"0.0")&amp;"h")</f>
        <v/>
      </c>
      <c r="G16" s="15">
        <f>IF(G9="","",TEXT(G9,"d")&amp;CHAR(10)&amp;"Sprint "&amp;IFERROR(INDEX(DailyPlan!$E$2:$E$1001,MATCH(G9,DailyPlan!$A$2:$A$1001,0)),"-")&amp;CHAR(10)&amp;TEXT(IFERROR(INDEX(DailyPlan!$F$2:$F$1001,MATCH(G9,DailyPlan!$A$2:$A$1001,0)),0),"0.0")&amp;"h")</f>
        <v/>
      </c>
    </row>
    <row r="17" ht="55" customHeight="1">
      <c r="A17" s="15">
        <f>IF(A10="","",TEXT(A10,"d")&amp;CHAR(10)&amp;"Sprint "&amp;IFERROR(INDEX(DailyPlan!$E$2:$E$1001,MATCH(A10,DailyPlan!$A$2:$A$1001,0)),"-")&amp;CHAR(10)&amp;TEXT(IFERROR(INDEX(DailyPlan!$F$2:$F$1001,MATCH(A10,DailyPlan!$A$2:$A$1001,0)),0),"0.0")&amp;"h")</f>
        <v/>
      </c>
      <c r="B17" s="15">
        <f>IF(B10="","",TEXT(B10,"d")&amp;CHAR(10)&amp;"Sprint "&amp;IFERROR(INDEX(DailyPlan!$E$2:$E$1001,MATCH(B10,DailyPlan!$A$2:$A$1001,0)),"-")&amp;CHAR(10)&amp;TEXT(IFERROR(INDEX(DailyPlan!$F$2:$F$1001,MATCH(B10,DailyPlan!$A$2:$A$1001,0)),0),"0.0")&amp;"h")</f>
        <v/>
      </c>
      <c r="C17" s="15">
        <f>IF(C10="","",TEXT(C10,"d")&amp;CHAR(10)&amp;"Sprint "&amp;IFERROR(INDEX(DailyPlan!$E$2:$E$1001,MATCH(C10,DailyPlan!$A$2:$A$1001,0)),"-")&amp;CHAR(10)&amp;TEXT(IFERROR(INDEX(DailyPlan!$F$2:$F$1001,MATCH(C10,DailyPlan!$A$2:$A$1001,0)),0),"0.0")&amp;"h")</f>
        <v/>
      </c>
      <c r="D17" s="15">
        <f>IF(D10="","",TEXT(D10,"d")&amp;CHAR(10)&amp;"Sprint "&amp;IFERROR(INDEX(DailyPlan!$E$2:$E$1001,MATCH(D10,DailyPlan!$A$2:$A$1001,0)),"-")&amp;CHAR(10)&amp;TEXT(IFERROR(INDEX(DailyPlan!$F$2:$F$1001,MATCH(D10,DailyPlan!$A$2:$A$1001,0)),0),"0.0")&amp;"h")</f>
        <v/>
      </c>
      <c r="E17" s="15">
        <f>IF(E10="","",TEXT(E10,"d")&amp;CHAR(10)&amp;"Sprint "&amp;IFERROR(INDEX(DailyPlan!$E$2:$E$1001,MATCH(E10,DailyPlan!$A$2:$A$1001,0)),"-")&amp;CHAR(10)&amp;TEXT(IFERROR(INDEX(DailyPlan!$F$2:$F$1001,MATCH(E10,DailyPlan!$A$2:$A$1001,0)),0),"0.0")&amp;"h")</f>
        <v/>
      </c>
      <c r="F17" s="15">
        <f>IF(F10="","",TEXT(F10,"d")&amp;CHAR(10)&amp;"Sprint "&amp;IFERROR(INDEX(DailyPlan!$E$2:$E$1001,MATCH(F10,DailyPlan!$A$2:$A$1001,0)),"-")&amp;CHAR(10)&amp;TEXT(IFERROR(INDEX(DailyPlan!$F$2:$F$1001,MATCH(F10,DailyPlan!$A$2:$A$1001,0)),0),"0.0")&amp;"h")</f>
        <v/>
      </c>
      <c r="G17" s="15">
        <f>IF(G10="","",TEXT(G10,"d")&amp;CHAR(10)&amp;"Sprint "&amp;IFERROR(INDEX(DailyPlan!$E$2:$E$1001,MATCH(G10,DailyPlan!$A$2:$A$1001,0)),"-")&amp;CHAR(10)&amp;TEXT(IFERROR(INDEX(DailyPlan!$F$2:$F$1001,MATCH(G10,DailyPlan!$A$2:$A$1001,0)),0),"0.0")&amp;"h")</f>
        <v/>
      </c>
    </row>
    <row r="18" ht="55" customHeight="1">
      <c r="A18" s="15">
        <f>IF(A11="","",TEXT(A11,"d")&amp;CHAR(10)&amp;"Sprint "&amp;IFERROR(INDEX(DailyPlan!$E$2:$E$1001,MATCH(A11,DailyPlan!$A$2:$A$1001,0)),"-")&amp;CHAR(10)&amp;TEXT(IFERROR(INDEX(DailyPlan!$F$2:$F$1001,MATCH(A11,DailyPlan!$A$2:$A$1001,0)),0),"0.0")&amp;"h")</f>
        <v/>
      </c>
      <c r="B18" s="15">
        <f>IF(B11="","",TEXT(B11,"d")&amp;CHAR(10)&amp;"Sprint "&amp;IFERROR(INDEX(DailyPlan!$E$2:$E$1001,MATCH(B11,DailyPlan!$A$2:$A$1001,0)),"-")&amp;CHAR(10)&amp;TEXT(IFERROR(INDEX(DailyPlan!$F$2:$F$1001,MATCH(B11,DailyPlan!$A$2:$A$1001,0)),0),"0.0")&amp;"h")</f>
        <v/>
      </c>
      <c r="C18" s="15">
        <f>IF(C11="","",TEXT(C11,"d")&amp;CHAR(10)&amp;"Sprint "&amp;IFERROR(INDEX(DailyPlan!$E$2:$E$1001,MATCH(C11,DailyPlan!$A$2:$A$1001,0)),"-")&amp;CHAR(10)&amp;TEXT(IFERROR(INDEX(DailyPlan!$F$2:$F$1001,MATCH(C11,DailyPlan!$A$2:$A$1001,0)),0),"0.0")&amp;"h")</f>
        <v/>
      </c>
      <c r="D18" s="15">
        <f>IF(D11="","",TEXT(D11,"d")&amp;CHAR(10)&amp;"Sprint "&amp;IFERROR(INDEX(DailyPlan!$E$2:$E$1001,MATCH(D11,DailyPlan!$A$2:$A$1001,0)),"-")&amp;CHAR(10)&amp;TEXT(IFERROR(INDEX(DailyPlan!$F$2:$F$1001,MATCH(D11,DailyPlan!$A$2:$A$1001,0)),0),"0.0")&amp;"h")</f>
        <v/>
      </c>
      <c r="E18" s="15">
        <f>IF(E11="","",TEXT(E11,"d")&amp;CHAR(10)&amp;"Sprint "&amp;IFERROR(INDEX(DailyPlan!$E$2:$E$1001,MATCH(E11,DailyPlan!$A$2:$A$1001,0)),"-")&amp;CHAR(10)&amp;TEXT(IFERROR(INDEX(DailyPlan!$F$2:$F$1001,MATCH(E11,DailyPlan!$A$2:$A$1001,0)),0),"0.0")&amp;"h")</f>
        <v/>
      </c>
      <c r="F18" s="15">
        <f>IF(F11="","",TEXT(F11,"d")&amp;CHAR(10)&amp;"Sprint "&amp;IFERROR(INDEX(DailyPlan!$E$2:$E$1001,MATCH(F11,DailyPlan!$A$2:$A$1001,0)),"-")&amp;CHAR(10)&amp;TEXT(IFERROR(INDEX(DailyPlan!$F$2:$F$1001,MATCH(F11,DailyPlan!$A$2:$A$1001,0)),0),"0.0")&amp;"h")</f>
        <v/>
      </c>
      <c r="G18" s="15">
        <f>IF(G11="","",TEXT(G11,"d")&amp;CHAR(10)&amp;"Sprint "&amp;IFERROR(INDEX(DailyPlan!$E$2:$E$1001,MATCH(G11,DailyPlan!$A$2:$A$1001,0)),"-")&amp;CHAR(10)&amp;TEXT(IFERROR(INDEX(DailyPlan!$F$2:$F$1001,MATCH(G11,DailyPlan!$A$2:$A$1001,0)),0),"0.0")&amp;"h")</f>
        <v/>
      </c>
    </row>
  </sheetData>
  <conditionalFormatting sqref="A13:G18">
    <cfRule type="expression" priority="1" dxfId="2">
      <formula>OR(A6&lt;Eingabe!$B$3,A6&gt;Eingabe!$B$4)</formula>
    </cfRule>
    <cfRule type="expression" priority="2" dxfId="0">
      <formula>IFERROR(INDEX(DailyPlan!$L$2:$L$1001,MATCH(A6,DailyPlan!$A$2:$A$1001,0)),"")="OK"</formula>
    </cfRule>
    <cfRule type="expression" priority="3" dxfId="1">
      <formula>IFERROR(INDEX(DailyPlan!$L$2:$L$1001,MATCH(A6,DailyPlan!$A$2:$A$1001,0)),"")="UNMOEGLICH"</formula>
    </cfRule>
    <cfRule type="expression" priority="4" dxfId="3">
      <formula>DAY(A6)=1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10" max="10"/>
    <col width="12" customWidth="1" min="11" max="11"/>
  </cols>
  <sheetData>
    <row r="1">
      <c r="A1" s="1" t="inlineStr">
        <is>
          <t>Budget/Sprint Dashboard - Timeline</t>
        </is>
      </c>
    </row>
    <row r="2">
      <c r="A2" t="inlineStr">
        <is>
          <t>Projekt:</t>
        </is>
      </c>
      <c r="B2" s="13">
        <f>Eingabe!$B$3</f>
        <v/>
      </c>
      <c r="D2" s="13">
        <f>Eingabe!$B$4</f>
        <v/>
      </c>
    </row>
    <row r="4">
      <c r="A4" s="4" t="inlineStr">
        <is>
          <t>Woche</t>
        </is>
      </c>
      <c r="B4" s="11" t="inlineStr">
        <is>
          <t>Mo</t>
        </is>
      </c>
      <c r="C4" s="11" t="inlineStr">
        <is>
          <t>Di</t>
        </is>
      </c>
      <c r="D4" s="11" t="inlineStr">
        <is>
          <t>Mi</t>
        </is>
      </c>
      <c r="E4" s="11" t="inlineStr">
        <is>
          <t>Do</t>
        </is>
      </c>
      <c r="F4" s="11" t="inlineStr">
        <is>
          <t>Fr</t>
        </is>
      </c>
      <c r="G4" s="11" t="inlineStr">
        <is>
          <t>Sa</t>
        </is>
      </c>
      <c r="H4" s="11" t="inlineStr">
        <is>
          <t>So</t>
        </is>
      </c>
      <c r="J4" s="4" t="inlineStr">
        <is>
          <t>Monat</t>
        </is>
      </c>
      <c r="K4" s="4" t="inlineStr">
        <is>
          <t>Summe Woche (h)</t>
        </is>
      </c>
    </row>
    <row r="5">
      <c r="A5" s="5" t="n">
        <v>1</v>
      </c>
      <c r="B5" s="16">
        <f>Eingabe!$B$3-WEEKDAY(Eingabe!$B$3,2)+1</f>
        <v/>
      </c>
      <c r="C5" s="16">
        <f>B5+1</f>
        <v/>
      </c>
      <c r="D5" s="16">
        <f>C5+1</f>
        <v/>
      </c>
      <c r="E5" s="16">
        <f>D5+1</f>
        <v/>
      </c>
      <c r="F5" s="16">
        <f>E5+1</f>
        <v/>
      </c>
      <c r="G5" s="16">
        <f>F5+1</f>
        <v/>
      </c>
      <c r="H5" s="16">
        <f>G5+1</f>
        <v/>
      </c>
      <c r="J5" s="5">
        <f>TEXT(B5,"mmmm yyyy")</f>
        <v/>
      </c>
      <c r="K5" s="8">
        <f>SUMPRODUCT((DailyPlan!$A$2:$A$1001&gt;=B5)*(DailyPlan!$A$2:$A$1001&lt;=H5)*(DailyPlan!$F$2:$F$1001))</f>
        <v/>
      </c>
    </row>
    <row r="6">
      <c r="A6" s="5" t="n">
        <v>2</v>
      </c>
      <c r="B6" s="16">
        <f>B5+7</f>
        <v/>
      </c>
      <c r="C6" s="16">
        <f>B6+1</f>
        <v/>
      </c>
      <c r="D6" s="16">
        <f>C6+1</f>
        <v/>
      </c>
      <c r="E6" s="16">
        <f>D6+1</f>
        <v/>
      </c>
      <c r="F6" s="16">
        <f>E6+1</f>
        <v/>
      </c>
      <c r="G6" s="16">
        <f>F6+1</f>
        <v/>
      </c>
      <c r="H6" s="16">
        <f>G6+1</f>
        <v/>
      </c>
      <c r="J6" s="5">
        <f>TEXT(B6,"mmmm yyyy")</f>
        <v/>
      </c>
      <c r="K6" s="8">
        <f>SUMPRODUCT((DailyPlan!$A$2:$A$1001&gt;=B6)*(DailyPlan!$A$2:$A$1001&lt;=H6)*(DailyPlan!$F$2:$F$1001))</f>
        <v/>
      </c>
    </row>
    <row r="7">
      <c r="A7" s="5" t="n">
        <v>3</v>
      </c>
      <c r="B7" s="16">
        <f>B6+7</f>
        <v/>
      </c>
      <c r="C7" s="16">
        <f>B7+1</f>
        <v/>
      </c>
      <c r="D7" s="16">
        <f>C7+1</f>
        <v/>
      </c>
      <c r="E7" s="16">
        <f>D7+1</f>
        <v/>
      </c>
      <c r="F7" s="16">
        <f>E7+1</f>
        <v/>
      </c>
      <c r="G7" s="16">
        <f>F7+1</f>
        <v/>
      </c>
      <c r="H7" s="16">
        <f>G7+1</f>
        <v/>
      </c>
      <c r="J7" s="5">
        <f>TEXT(B7,"mmmm yyyy")</f>
        <v/>
      </c>
      <c r="K7" s="8">
        <f>SUMPRODUCT((DailyPlan!$A$2:$A$1001&gt;=B7)*(DailyPlan!$A$2:$A$1001&lt;=H7)*(DailyPlan!$F$2:$F$1001))</f>
        <v/>
      </c>
    </row>
    <row r="8">
      <c r="A8" s="5" t="n">
        <v>4</v>
      </c>
      <c r="B8" s="16">
        <f>B7+7</f>
        <v/>
      </c>
      <c r="C8" s="16">
        <f>B8+1</f>
        <v/>
      </c>
      <c r="D8" s="16">
        <f>C8+1</f>
        <v/>
      </c>
      <c r="E8" s="16">
        <f>D8+1</f>
        <v/>
      </c>
      <c r="F8" s="16">
        <f>E8+1</f>
        <v/>
      </c>
      <c r="G8" s="16">
        <f>F8+1</f>
        <v/>
      </c>
      <c r="H8" s="16">
        <f>G8+1</f>
        <v/>
      </c>
      <c r="J8" s="5">
        <f>TEXT(B8,"mmmm yyyy")</f>
        <v/>
      </c>
      <c r="K8" s="8">
        <f>SUMPRODUCT((DailyPlan!$A$2:$A$1001&gt;=B8)*(DailyPlan!$A$2:$A$1001&lt;=H8)*(DailyPlan!$F$2:$F$1001))</f>
        <v/>
      </c>
    </row>
    <row r="9">
      <c r="A9" s="5" t="n">
        <v>5</v>
      </c>
      <c r="B9" s="16">
        <f>B8+7</f>
        <v/>
      </c>
      <c r="C9" s="16">
        <f>B9+1</f>
        <v/>
      </c>
      <c r="D9" s="16">
        <f>C9+1</f>
        <v/>
      </c>
      <c r="E9" s="16">
        <f>D9+1</f>
        <v/>
      </c>
      <c r="F9" s="16">
        <f>E9+1</f>
        <v/>
      </c>
      <c r="G9" s="16">
        <f>F9+1</f>
        <v/>
      </c>
      <c r="H9" s="16">
        <f>G9+1</f>
        <v/>
      </c>
      <c r="J9" s="5">
        <f>TEXT(B9,"mmmm yyyy")</f>
        <v/>
      </c>
      <c r="K9" s="8">
        <f>SUMPRODUCT((DailyPlan!$A$2:$A$1001&gt;=B9)*(DailyPlan!$A$2:$A$1001&lt;=H9)*(DailyPlan!$F$2:$F$1001))</f>
        <v/>
      </c>
    </row>
    <row r="10">
      <c r="A10" s="5" t="n">
        <v>6</v>
      </c>
      <c r="B10" s="16">
        <f>B9+7</f>
        <v/>
      </c>
      <c r="C10" s="16">
        <f>B10+1</f>
        <v/>
      </c>
      <c r="D10" s="16">
        <f>C10+1</f>
        <v/>
      </c>
      <c r="E10" s="16">
        <f>D10+1</f>
        <v/>
      </c>
      <c r="F10" s="16">
        <f>E10+1</f>
        <v/>
      </c>
      <c r="G10" s="16">
        <f>F10+1</f>
        <v/>
      </c>
      <c r="H10" s="16">
        <f>G10+1</f>
        <v/>
      </c>
      <c r="J10" s="5">
        <f>TEXT(B10,"mmmm yyyy")</f>
        <v/>
      </c>
      <c r="K10" s="8">
        <f>SUMPRODUCT((DailyPlan!$A$2:$A$1001&gt;=B10)*(DailyPlan!$A$2:$A$1001&lt;=H10)*(DailyPlan!$F$2:$F$1001))</f>
        <v/>
      </c>
    </row>
    <row r="11">
      <c r="A11" s="5" t="n">
        <v>7</v>
      </c>
      <c r="B11" s="16">
        <f>B10+7</f>
        <v/>
      </c>
      <c r="C11" s="16">
        <f>B11+1</f>
        <v/>
      </c>
      <c r="D11" s="16">
        <f>C11+1</f>
        <v/>
      </c>
      <c r="E11" s="16">
        <f>D11+1</f>
        <v/>
      </c>
      <c r="F11" s="16">
        <f>E11+1</f>
        <v/>
      </c>
      <c r="G11" s="16">
        <f>F11+1</f>
        <v/>
      </c>
      <c r="H11" s="16">
        <f>G11+1</f>
        <v/>
      </c>
      <c r="J11" s="5">
        <f>TEXT(B11,"mmmm yyyy")</f>
        <v/>
      </c>
      <c r="K11" s="8">
        <f>SUMPRODUCT((DailyPlan!$A$2:$A$1001&gt;=B11)*(DailyPlan!$A$2:$A$1001&lt;=H11)*(DailyPlan!$F$2:$F$1001))</f>
        <v/>
      </c>
    </row>
    <row r="12">
      <c r="A12" s="5" t="n">
        <v>8</v>
      </c>
      <c r="B12" s="16">
        <f>B11+7</f>
        <v/>
      </c>
      <c r="C12" s="16">
        <f>B12+1</f>
        <v/>
      </c>
      <c r="D12" s="16">
        <f>C12+1</f>
        <v/>
      </c>
      <c r="E12" s="16">
        <f>D12+1</f>
        <v/>
      </c>
      <c r="F12" s="16">
        <f>E12+1</f>
        <v/>
      </c>
      <c r="G12" s="16">
        <f>F12+1</f>
        <v/>
      </c>
      <c r="H12" s="16">
        <f>G12+1</f>
        <v/>
      </c>
      <c r="J12" s="5">
        <f>TEXT(B12,"mmmm yyyy")</f>
        <v/>
      </c>
      <c r="K12" s="8">
        <f>SUMPRODUCT((DailyPlan!$A$2:$A$1001&gt;=B12)*(DailyPlan!$A$2:$A$1001&lt;=H12)*(DailyPlan!$F$2:$F$1001))</f>
        <v/>
      </c>
    </row>
    <row r="13">
      <c r="A13" s="5" t="n">
        <v>9</v>
      </c>
      <c r="B13" s="16">
        <f>B12+7</f>
        <v/>
      </c>
      <c r="C13" s="16">
        <f>B13+1</f>
        <v/>
      </c>
      <c r="D13" s="16">
        <f>C13+1</f>
        <v/>
      </c>
      <c r="E13" s="16">
        <f>D13+1</f>
        <v/>
      </c>
      <c r="F13" s="16">
        <f>E13+1</f>
        <v/>
      </c>
      <c r="G13" s="16">
        <f>F13+1</f>
        <v/>
      </c>
      <c r="H13" s="16">
        <f>G13+1</f>
        <v/>
      </c>
      <c r="J13" s="5">
        <f>TEXT(B13,"mmmm yyyy")</f>
        <v/>
      </c>
      <c r="K13" s="8">
        <f>SUMPRODUCT((DailyPlan!$A$2:$A$1001&gt;=B13)*(DailyPlan!$A$2:$A$1001&lt;=H13)*(DailyPlan!$F$2:$F$1001))</f>
        <v/>
      </c>
    </row>
    <row r="14">
      <c r="A14" s="5" t="n">
        <v>10</v>
      </c>
      <c r="B14" s="16">
        <f>B13+7</f>
        <v/>
      </c>
      <c r="C14" s="16">
        <f>B14+1</f>
        <v/>
      </c>
      <c r="D14" s="16">
        <f>C14+1</f>
        <v/>
      </c>
      <c r="E14" s="16">
        <f>D14+1</f>
        <v/>
      </c>
      <c r="F14" s="16">
        <f>E14+1</f>
        <v/>
      </c>
      <c r="G14" s="16">
        <f>F14+1</f>
        <v/>
      </c>
      <c r="H14" s="16">
        <f>G14+1</f>
        <v/>
      </c>
      <c r="J14" s="5">
        <f>TEXT(B14,"mmmm yyyy")</f>
        <v/>
      </c>
      <c r="K14" s="8">
        <f>SUMPRODUCT((DailyPlan!$A$2:$A$1001&gt;=B14)*(DailyPlan!$A$2:$A$1001&lt;=H14)*(DailyPlan!$F$2:$F$1001))</f>
        <v/>
      </c>
    </row>
    <row r="15">
      <c r="A15" s="5" t="n">
        <v>11</v>
      </c>
      <c r="B15" s="16">
        <f>B14+7</f>
        <v/>
      </c>
      <c r="C15" s="16">
        <f>B15+1</f>
        <v/>
      </c>
      <c r="D15" s="16">
        <f>C15+1</f>
        <v/>
      </c>
      <c r="E15" s="16">
        <f>D15+1</f>
        <v/>
      </c>
      <c r="F15" s="16">
        <f>E15+1</f>
        <v/>
      </c>
      <c r="G15" s="16">
        <f>F15+1</f>
        <v/>
      </c>
      <c r="H15" s="16">
        <f>G15+1</f>
        <v/>
      </c>
      <c r="J15" s="5">
        <f>TEXT(B15,"mmmm yyyy")</f>
        <v/>
      </c>
      <c r="K15" s="8">
        <f>SUMPRODUCT((DailyPlan!$A$2:$A$1001&gt;=B15)*(DailyPlan!$A$2:$A$1001&lt;=H15)*(DailyPlan!$F$2:$F$1001))</f>
        <v/>
      </c>
    </row>
    <row r="16">
      <c r="A16" s="5" t="n">
        <v>12</v>
      </c>
      <c r="B16" s="16">
        <f>B15+7</f>
        <v/>
      </c>
      <c r="C16" s="16">
        <f>B16+1</f>
        <v/>
      </c>
      <c r="D16" s="16">
        <f>C16+1</f>
        <v/>
      </c>
      <c r="E16" s="16">
        <f>D16+1</f>
        <v/>
      </c>
      <c r="F16" s="16">
        <f>E16+1</f>
        <v/>
      </c>
      <c r="G16" s="16">
        <f>F16+1</f>
        <v/>
      </c>
      <c r="H16" s="16">
        <f>G16+1</f>
        <v/>
      </c>
      <c r="J16" s="5">
        <f>TEXT(B16,"mmmm yyyy")</f>
        <v/>
      </c>
      <c r="K16" s="8">
        <f>SUMPRODUCT((DailyPlan!$A$2:$A$1001&gt;=B16)*(DailyPlan!$A$2:$A$1001&lt;=H16)*(DailyPlan!$F$2:$F$1001))</f>
        <v/>
      </c>
    </row>
    <row r="17">
      <c r="A17" s="5" t="n">
        <v>13</v>
      </c>
      <c r="B17" s="16">
        <f>B16+7</f>
        <v/>
      </c>
      <c r="C17" s="16">
        <f>B17+1</f>
        <v/>
      </c>
      <c r="D17" s="16">
        <f>C17+1</f>
        <v/>
      </c>
      <c r="E17" s="16">
        <f>D17+1</f>
        <v/>
      </c>
      <c r="F17" s="16">
        <f>E17+1</f>
        <v/>
      </c>
      <c r="G17" s="16">
        <f>F17+1</f>
        <v/>
      </c>
      <c r="H17" s="16">
        <f>G17+1</f>
        <v/>
      </c>
      <c r="J17" s="5">
        <f>TEXT(B17,"mmmm yyyy")</f>
        <v/>
      </c>
      <c r="K17" s="8">
        <f>SUMPRODUCT((DailyPlan!$A$2:$A$1001&gt;=B17)*(DailyPlan!$A$2:$A$1001&lt;=H17)*(DailyPlan!$F$2:$F$1001))</f>
        <v/>
      </c>
    </row>
    <row r="18">
      <c r="A18" s="5" t="n">
        <v>14</v>
      </c>
      <c r="B18" s="16">
        <f>B17+7</f>
        <v/>
      </c>
      <c r="C18" s="16">
        <f>B18+1</f>
        <v/>
      </c>
      <c r="D18" s="16">
        <f>C18+1</f>
        <v/>
      </c>
      <c r="E18" s="16">
        <f>D18+1</f>
        <v/>
      </c>
      <c r="F18" s="16">
        <f>E18+1</f>
        <v/>
      </c>
      <c r="G18" s="16">
        <f>F18+1</f>
        <v/>
      </c>
      <c r="H18" s="16">
        <f>G18+1</f>
        <v/>
      </c>
      <c r="J18" s="5">
        <f>TEXT(B18,"mmmm yyyy")</f>
        <v/>
      </c>
      <c r="K18" s="8">
        <f>SUMPRODUCT((DailyPlan!$A$2:$A$1001&gt;=B18)*(DailyPlan!$A$2:$A$1001&lt;=H18)*(DailyPlan!$F$2:$F$1001))</f>
        <v/>
      </c>
    </row>
    <row r="19">
      <c r="A19" s="5" t="n">
        <v>15</v>
      </c>
      <c r="B19" s="16">
        <f>B18+7</f>
        <v/>
      </c>
      <c r="C19" s="16">
        <f>B19+1</f>
        <v/>
      </c>
      <c r="D19" s="16">
        <f>C19+1</f>
        <v/>
      </c>
      <c r="E19" s="16">
        <f>D19+1</f>
        <v/>
      </c>
      <c r="F19" s="16">
        <f>E19+1</f>
        <v/>
      </c>
      <c r="G19" s="16">
        <f>F19+1</f>
        <v/>
      </c>
      <c r="H19" s="16">
        <f>G19+1</f>
        <v/>
      </c>
      <c r="J19" s="5">
        <f>TEXT(B19,"mmmm yyyy")</f>
        <v/>
      </c>
      <c r="K19" s="8">
        <f>SUMPRODUCT((DailyPlan!$A$2:$A$1001&gt;=B19)*(DailyPlan!$A$2:$A$1001&lt;=H19)*(DailyPlan!$F$2:$F$1001))</f>
        <v/>
      </c>
    </row>
    <row r="20">
      <c r="A20" s="5" t="n">
        <v>16</v>
      </c>
      <c r="B20" s="16">
        <f>B19+7</f>
        <v/>
      </c>
      <c r="C20" s="16">
        <f>B20+1</f>
        <v/>
      </c>
      <c r="D20" s="16">
        <f>C20+1</f>
        <v/>
      </c>
      <c r="E20" s="16">
        <f>D20+1</f>
        <v/>
      </c>
      <c r="F20" s="16">
        <f>E20+1</f>
        <v/>
      </c>
      <c r="G20" s="16">
        <f>F20+1</f>
        <v/>
      </c>
      <c r="H20" s="16">
        <f>G20+1</f>
        <v/>
      </c>
      <c r="J20" s="5">
        <f>TEXT(B20,"mmmm yyyy")</f>
        <v/>
      </c>
      <c r="K20" s="8">
        <f>SUMPRODUCT((DailyPlan!$A$2:$A$1001&gt;=B20)*(DailyPlan!$A$2:$A$1001&lt;=H20)*(DailyPlan!$F$2:$F$1001))</f>
        <v/>
      </c>
    </row>
    <row r="21">
      <c r="A21" s="5" t="n">
        <v>17</v>
      </c>
      <c r="B21" s="16">
        <f>B20+7</f>
        <v/>
      </c>
      <c r="C21" s="16">
        <f>B21+1</f>
        <v/>
      </c>
      <c r="D21" s="16">
        <f>C21+1</f>
        <v/>
      </c>
      <c r="E21" s="16">
        <f>D21+1</f>
        <v/>
      </c>
      <c r="F21" s="16">
        <f>E21+1</f>
        <v/>
      </c>
      <c r="G21" s="16">
        <f>F21+1</f>
        <v/>
      </c>
      <c r="H21" s="16">
        <f>G21+1</f>
        <v/>
      </c>
      <c r="J21" s="5">
        <f>TEXT(B21,"mmmm yyyy")</f>
        <v/>
      </c>
      <c r="K21" s="8">
        <f>SUMPRODUCT((DailyPlan!$A$2:$A$1001&gt;=B21)*(DailyPlan!$A$2:$A$1001&lt;=H21)*(DailyPlan!$F$2:$F$1001))</f>
        <v/>
      </c>
    </row>
    <row r="22">
      <c r="A22" s="5" t="n">
        <v>18</v>
      </c>
      <c r="B22" s="16">
        <f>B21+7</f>
        <v/>
      </c>
      <c r="C22" s="16">
        <f>B22+1</f>
        <v/>
      </c>
      <c r="D22" s="16">
        <f>C22+1</f>
        <v/>
      </c>
      <c r="E22" s="16">
        <f>D22+1</f>
        <v/>
      </c>
      <c r="F22" s="16">
        <f>E22+1</f>
        <v/>
      </c>
      <c r="G22" s="16">
        <f>F22+1</f>
        <v/>
      </c>
      <c r="H22" s="16">
        <f>G22+1</f>
        <v/>
      </c>
      <c r="J22" s="5">
        <f>TEXT(B22,"mmmm yyyy")</f>
        <v/>
      </c>
      <c r="K22" s="8">
        <f>SUMPRODUCT((DailyPlan!$A$2:$A$1001&gt;=B22)*(DailyPlan!$A$2:$A$1001&lt;=H22)*(DailyPlan!$F$2:$F$1001))</f>
        <v/>
      </c>
    </row>
    <row r="23">
      <c r="A23" s="5" t="n">
        <v>19</v>
      </c>
      <c r="B23" s="16">
        <f>B22+7</f>
        <v/>
      </c>
      <c r="C23" s="16">
        <f>B23+1</f>
        <v/>
      </c>
      <c r="D23" s="16">
        <f>C23+1</f>
        <v/>
      </c>
      <c r="E23" s="16">
        <f>D23+1</f>
        <v/>
      </c>
      <c r="F23" s="16">
        <f>E23+1</f>
        <v/>
      </c>
      <c r="G23" s="16">
        <f>F23+1</f>
        <v/>
      </c>
      <c r="H23" s="16">
        <f>G23+1</f>
        <v/>
      </c>
      <c r="J23" s="5">
        <f>TEXT(B23,"mmmm yyyy")</f>
        <v/>
      </c>
      <c r="K23" s="8">
        <f>SUMPRODUCT((DailyPlan!$A$2:$A$1001&gt;=B23)*(DailyPlan!$A$2:$A$1001&lt;=H23)*(DailyPlan!$F$2:$F$1001))</f>
        <v/>
      </c>
    </row>
    <row r="24">
      <c r="A24" s="5" t="n">
        <v>20</v>
      </c>
      <c r="B24" s="16">
        <f>B23+7</f>
        <v/>
      </c>
      <c r="C24" s="16">
        <f>B24+1</f>
        <v/>
      </c>
      <c r="D24" s="16">
        <f>C24+1</f>
        <v/>
      </c>
      <c r="E24" s="16">
        <f>D24+1</f>
        <v/>
      </c>
      <c r="F24" s="16">
        <f>E24+1</f>
        <v/>
      </c>
      <c r="G24" s="16">
        <f>F24+1</f>
        <v/>
      </c>
      <c r="H24" s="16">
        <f>G24+1</f>
        <v/>
      </c>
      <c r="J24" s="5">
        <f>TEXT(B24,"mmmm yyyy")</f>
        <v/>
      </c>
      <c r="K24" s="8">
        <f>SUMPRODUCT((DailyPlan!$A$2:$A$1001&gt;=B24)*(DailyPlan!$A$2:$A$1001&lt;=H24)*(DailyPlan!$F$2:$F$1001))</f>
        <v/>
      </c>
    </row>
    <row r="25">
      <c r="A25" s="5" t="n">
        <v>21</v>
      </c>
      <c r="B25" s="16">
        <f>B24+7</f>
        <v/>
      </c>
      <c r="C25" s="16">
        <f>B25+1</f>
        <v/>
      </c>
      <c r="D25" s="16">
        <f>C25+1</f>
        <v/>
      </c>
      <c r="E25" s="16">
        <f>D25+1</f>
        <v/>
      </c>
      <c r="F25" s="16">
        <f>E25+1</f>
        <v/>
      </c>
      <c r="G25" s="16">
        <f>F25+1</f>
        <v/>
      </c>
      <c r="H25" s="16">
        <f>G25+1</f>
        <v/>
      </c>
      <c r="J25" s="5">
        <f>TEXT(B25,"mmmm yyyy")</f>
        <v/>
      </c>
      <c r="K25" s="8">
        <f>SUMPRODUCT((DailyPlan!$A$2:$A$1001&gt;=B25)*(DailyPlan!$A$2:$A$1001&lt;=H25)*(DailyPlan!$F$2:$F$1001))</f>
        <v/>
      </c>
    </row>
    <row r="26">
      <c r="A26" s="5" t="n">
        <v>22</v>
      </c>
      <c r="B26" s="16">
        <f>B25+7</f>
        <v/>
      </c>
      <c r="C26" s="16">
        <f>B26+1</f>
        <v/>
      </c>
      <c r="D26" s="16">
        <f>C26+1</f>
        <v/>
      </c>
      <c r="E26" s="16">
        <f>D26+1</f>
        <v/>
      </c>
      <c r="F26" s="16">
        <f>E26+1</f>
        <v/>
      </c>
      <c r="G26" s="16">
        <f>F26+1</f>
        <v/>
      </c>
      <c r="H26" s="16">
        <f>G26+1</f>
        <v/>
      </c>
      <c r="J26" s="5">
        <f>TEXT(B26,"mmmm yyyy")</f>
        <v/>
      </c>
      <c r="K26" s="8">
        <f>SUMPRODUCT((DailyPlan!$A$2:$A$1001&gt;=B26)*(DailyPlan!$A$2:$A$1001&lt;=H26)*(DailyPlan!$F$2:$F$1001))</f>
        <v/>
      </c>
    </row>
    <row r="27">
      <c r="A27" s="5" t="n">
        <v>23</v>
      </c>
      <c r="B27" s="16">
        <f>B26+7</f>
        <v/>
      </c>
      <c r="C27" s="16">
        <f>B27+1</f>
        <v/>
      </c>
      <c r="D27" s="16">
        <f>C27+1</f>
        <v/>
      </c>
      <c r="E27" s="16">
        <f>D27+1</f>
        <v/>
      </c>
      <c r="F27" s="16">
        <f>E27+1</f>
        <v/>
      </c>
      <c r="G27" s="16">
        <f>F27+1</f>
        <v/>
      </c>
      <c r="H27" s="16">
        <f>G27+1</f>
        <v/>
      </c>
      <c r="J27" s="5">
        <f>TEXT(B27,"mmmm yyyy")</f>
        <v/>
      </c>
      <c r="K27" s="8">
        <f>SUMPRODUCT((DailyPlan!$A$2:$A$1001&gt;=B27)*(DailyPlan!$A$2:$A$1001&lt;=H27)*(DailyPlan!$F$2:$F$1001))</f>
        <v/>
      </c>
    </row>
    <row r="28">
      <c r="A28" s="5" t="n">
        <v>24</v>
      </c>
      <c r="B28" s="16">
        <f>B27+7</f>
        <v/>
      </c>
      <c r="C28" s="16">
        <f>B28+1</f>
        <v/>
      </c>
      <c r="D28" s="16">
        <f>C28+1</f>
        <v/>
      </c>
      <c r="E28" s="16">
        <f>D28+1</f>
        <v/>
      </c>
      <c r="F28" s="16">
        <f>E28+1</f>
        <v/>
      </c>
      <c r="G28" s="16">
        <f>F28+1</f>
        <v/>
      </c>
      <c r="H28" s="16">
        <f>G28+1</f>
        <v/>
      </c>
      <c r="J28" s="5">
        <f>TEXT(B28,"mmmm yyyy")</f>
        <v/>
      </c>
      <c r="K28" s="8">
        <f>SUMPRODUCT((DailyPlan!$A$2:$A$1001&gt;=B28)*(DailyPlan!$A$2:$A$1001&lt;=H28)*(DailyPlan!$F$2:$F$1001))</f>
        <v/>
      </c>
    </row>
    <row r="29">
      <c r="A29" s="5" t="n">
        <v>25</v>
      </c>
      <c r="B29" s="16">
        <f>B28+7</f>
        <v/>
      </c>
      <c r="C29" s="16">
        <f>B29+1</f>
        <v/>
      </c>
      <c r="D29" s="16">
        <f>C29+1</f>
        <v/>
      </c>
      <c r="E29" s="16">
        <f>D29+1</f>
        <v/>
      </c>
      <c r="F29" s="16">
        <f>E29+1</f>
        <v/>
      </c>
      <c r="G29" s="16">
        <f>F29+1</f>
        <v/>
      </c>
      <c r="H29" s="16">
        <f>G29+1</f>
        <v/>
      </c>
      <c r="J29" s="5">
        <f>TEXT(B29,"mmmm yyyy")</f>
        <v/>
      </c>
      <c r="K29" s="8">
        <f>SUMPRODUCT((DailyPlan!$A$2:$A$1001&gt;=B29)*(DailyPlan!$A$2:$A$1001&lt;=H29)*(DailyPlan!$F$2:$F$1001))</f>
        <v/>
      </c>
    </row>
    <row r="30">
      <c r="A30" s="5" t="n">
        <v>26</v>
      </c>
      <c r="B30" s="16">
        <f>B29+7</f>
        <v/>
      </c>
      <c r="C30" s="16">
        <f>B30+1</f>
        <v/>
      </c>
      <c r="D30" s="16">
        <f>C30+1</f>
        <v/>
      </c>
      <c r="E30" s="16">
        <f>D30+1</f>
        <v/>
      </c>
      <c r="F30" s="16">
        <f>E30+1</f>
        <v/>
      </c>
      <c r="G30" s="16">
        <f>F30+1</f>
        <v/>
      </c>
      <c r="H30" s="16">
        <f>G30+1</f>
        <v/>
      </c>
      <c r="J30" s="5">
        <f>TEXT(B30,"mmmm yyyy")</f>
        <v/>
      </c>
      <c r="K30" s="8">
        <f>SUMPRODUCT((DailyPlan!$A$2:$A$1001&gt;=B30)*(DailyPlan!$A$2:$A$1001&lt;=H30)*(DailyPlan!$F$2:$F$1001))</f>
        <v/>
      </c>
    </row>
    <row r="31">
      <c r="A31" s="5" t="n">
        <v>27</v>
      </c>
      <c r="B31" s="16">
        <f>B30+7</f>
        <v/>
      </c>
      <c r="C31" s="16">
        <f>B31+1</f>
        <v/>
      </c>
      <c r="D31" s="16">
        <f>C31+1</f>
        <v/>
      </c>
      <c r="E31" s="16">
        <f>D31+1</f>
        <v/>
      </c>
      <c r="F31" s="16">
        <f>E31+1</f>
        <v/>
      </c>
      <c r="G31" s="16">
        <f>F31+1</f>
        <v/>
      </c>
      <c r="H31" s="16">
        <f>G31+1</f>
        <v/>
      </c>
      <c r="J31" s="5">
        <f>TEXT(B31,"mmmm yyyy")</f>
        <v/>
      </c>
      <c r="K31" s="8">
        <f>SUMPRODUCT((DailyPlan!$A$2:$A$1001&gt;=B31)*(DailyPlan!$A$2:$A$1001&lt;=H31)*(DailyPlan!$F$2:$F$1001))</f>
        <v/>
      </c>
    </row>
    <row r="32">
      <c r="A32" s="5" t="n">
        <v>28</v>
      </c>
      <c r="B32" s="16">
        <f>B31+7</f>
        <v/>
      </c>
      <c r="C32" s="16">
        <f>B32+1</f>
        <v/>
      </c>
      <c r="D32" s="16">
        <f>C32+1</f>
        <v/>
      </c>
      <c r="E32" s="16">
        <f>D32+1</f>
        <v/>
      </c>
      <c r="F32" s="16">
        <f>E32+1</f>
        <v/>
      </c>
      <c r="G32" s="16">
        <f>F32+1</f>
        <v/>
      </c>
      <c r="H32" s="16">
        <f>G32+1</f>
        <v/>
      </c>
      <c r="J32" s="5">
        <f>TEXT(B32,"mmmm yyyy")</f>
        <v/>
      </c>
      <c r="K32" s="8">
        <f>SUMPRODUCT((DailyPlan!$A$2:$A$1001&gt;=B32)*(DailyPlan!$A$2:$A$1001&lt;=H32)*(DailyPlan!$F$2:$F$1001))</f>
        <v/>
      </c>
    </row>
    <row r="33">
      <c r="A33" s="5" t="n">
        <v>29</v>
      </c>
      <c r="B33" s="16">
        <f>B32+7</f>
        <v/>
      </c>
      <c r="C33" s="16">
        <f>B33+1</f>
        <v/>
      </c>
      <c r="D33" s="16">
        <f>C33+1</f>
        <v/>
      </c>
      <c r="E33" s="16">
        <f>D33+1</f>
        <v/>
      </c>
      <c r="F33" s="16">
        <f>E33+1</f>
        <v/>
      </c>
      <c r="G33" s="16">
        <f>F33+1</f>
        <v/>
      </c>
      <c r="H33" s="16">
        <f>G33+1</f>
        <v/>
      </c>
      <c r="J33" s="5">
        <f>TEXT(B33,"mmmm yyyy")</f>
        <v/>
      </c>
      <c r="K33" s="8">
        <f>SUMPRODUCT((DailyPlan!$A$2:$A$1001&gt;=B33)*(DailyPlan!$A$2:$A$1001&lt;=H33)*(DailyPlan!$F$2:$F$1001))</f>
        <v/>
      </c>
    </row>
    <row r="34">
      <c r="A34" s="5" t="n">
        <v>30</v>
      </c>
      <c r="B34" s="16">
        <f>B33+7</f>
        <v/>
      </c>
      <c r="C34" s="16">
        <f>B34+1</f>
        <v/>
      </c>
      <c r="D34" s="16">
        <f>C34+1</f>
        <v/>
      </c>
      <c r="E34" s="16">
        <f>D34+1</f>
        <v/>
      </c>
      <c r="F34" s="16">
        <f>E34+1</f>
        <v/>
      </c>
      <c r="G34" s="16">
        <f>F34+1</f>
        <v/>
      </c>
      <c r="H34" s="16">
        <f>G34+1</f>
        <v/>
      </c>
      <c r="J34" s="5">
        <f>TEXT(B34,"mmmm yyyy")</f>
        <v/>
      </c>
      <c r="K34" s="8">
        <f>SUMPRODUCT((DailyPlan!$A$2:$A$1001&gt;=B34)*(DailyPlan!$A$2:$A$1001&lt;=H34)*(DailyPlan!$F$2:$F$1001))</f>
        <v/>
      </c>
    </row>
    <row r="35">
      <c r="A35" s="5" t="n">
        <v>31</v>
      </c>
      <c r="B35" s="16">
        <f>B34+7</f>
        <v/>
      </c>
      <c r="C35" s="16">
        <f>B35+1</f>
        <v/>
      </c>
      <c r="D35" s="16">
        <f>C35+1</f>
        <v/>
      </c>
      <c r="E35" s="16">
        <f>D35+1</f>
        <v/>
      </c>
      <c r="F35" s="16">
        <f>E35+1</f>
        <v/>
      </c>
      <c r="G35" s="16">
        <f>F35+1</f>
        <v/>
      </c>
      <c r="H35" s="16">
        <f>G35+1</f>
        <v/>
      </c>
      <c r="J35" s="5">
        <f>TEXT(B35,"mmmm yyyy")</f>
        <v/>
      </c>
      <c r="K35" s="8">
        <f>SUMPRODUCT((DailyPlan!$A$2:$A$1001&gt;=B35)*(DailyPlan!$A$2:$A$1001&lt;=H35)*(DailyPlan!$F$2:$F$1001))</f>
        <v/>
      </c>
    </row>
    <row r="36">
      <c r="A36" s="5" t="n">
        <v>32</v>
      </c>
      <c r="B36" s="16">
        <f>B35+7</f>
        <v/>
      </c>
      <c r="C36" s="16">
        <f>B36+1</f>
        <v/>
      </c>
      <c r="D36" s="16">
        <f>C36+1</f>
        <v/>
      </c>
      <c r="E36" s="16">
        <f>D36+1</f>
        <v/>
      </c>
      <c r="F36" s="16">
        <f>E36+1</f>
        <v/>
      </c>
      <c r="G36" s="16">
        <f>F36+1</f>
        <v/>
      </c>
      <c r="H36" s="16">
        <f>G36+1</f>
        <v/>
      </c>
      <c r="J36" s="5">
        <f>TEXT(B36,"mmmm yyyy")</f>
        <v/>
      </c>
      <c r="K36" s="8">
        <f>SUMPRODUCT((DailyPlan!$A$2:$A$1001&gt;=B36)*(DailyPlan!$A$2:$A$1001&lt;=H36)*(DailyPlan!$F$2:$F$1001))</f>
        <v/>
      </c>
    </row>
    <row r="37">
      <c r="A37" s="5" t="n">
        <v>33</v>
      </c>
      <c r="B37" s="16">
        <f>B36+7</f>
        <v/>
      </c>
      <c r="C37" s="16">
        <f>B37+1</f>
        <v/>
      </c>
      <c r="D37" s="16">
        <f>C37+1</f>
        <v/>
      </c>
      <c r="E37" s="16">
        <f>D37+1</f>
        <v/>
      </c>
      <c r="F37" s="16">
        <f>E37+1</f>
        <v/>
      </c>
      <c r="G37" s="16">
        <f>F37+1</f>
        <v/>
      </c>
      <c r="H37" s="16">
        <f>G37+1</f>
        <v/>
      </c>
      <c r="J37" s="5">
        <f>TEXT(B37,"mmmm yyyy")</f>
        <v/>
      </c>
      <c r="K37" s="8">
        <f>SUMPRODUCT((DailyPlan!$A$2:$A$1001&gt;=B37)*(DailyPlan!$A$2:$A$1001&lt;=H37)*(DailyPlan!$F$2:$F$1001))</f>
        <v/>
      </c>
    </row>
    <row r="38">
      <c r="A38" s="5" t="n">
        <v>34</v>
      </c>
      <c r="B38" s="16">
        <f>B37+7</f>
        <v/>
      </c>
      <c r="C38" s="16">
        <f>B38+1</f>
        <v/>
      </c>
      <c r="D38" s="16">
        <f>C38+1</f>
        <v/>
      </c>
      <c r="E38" s="16">
        <f>D38+1</f>
        <v/>
      </c>
      <c r="F38" s="16">
        <f>E38+1</f>
        <v/>
      </c>
      <c r="G38" s="16">
        <f>F38+1</f>
        <v/>
      </c>
      <c r="H38" s="16">
        <f>G38+1</f>
        <v/>
      </c>
      <c r="J38" s="5">
        <f>TEXT(B38,"mmmm yyyy")</f>
        <v/>
      </c>
      <c r="K38" s="8">
        <f>SUMPRODUCT((DailyPlan!$A$2:$A$1001&gt;=B38)*(DailyPlan!$A$2:$A$1001&lt;=H38)*(DailyPlan!$F$2:$F$1001))</f>
        <v/>
      </c>
    </row>
    <row r="39">
      <c r="A39" s="5" t="n">
        <v>35</v>
      </c>
      <c r="B39" s="16">
        <f>B38+7</f>
        <v/>
      </c>
      <c r="C39" s="16">
        <f>B39+1</f>
        <v/>
      </c>
      <c r="D39" s="16">
        <f>C39+1</f>
        <v/>
      </c>
      <c r="E39" s="16">
        <f>D39+1</f>
        <v/>
      </c>
      <c r="F39" s="16">
        <f>E39+1</f>
        <v/>
      </c>
      <c r="G39" s="16">
        <f>F39+1</f>
        <v/>
      </c>
      <c r="H39" s="16">
        <f>G39+1</f>
        <v/>
      </c>
      <c r="J39" s="5">
        <f>TEXT(B39,"mmmm yyyy")</f>
        <v/>
      </c>
      <c r="K39" s="8">
        <f>SUMPRODUCT((DailyPlan!$A$2:$A$1001&gt;=B39)*(DailyPlan!$A$2:$A$1001&lt;=H39)*(DailyPlan!$F$2:$F$1001))</f>
        <v/>
      </c>
    </row>
    <row r="40">
      <c r="A40" s="5" t="n">
        <v>36</v>
      </c>
      <c r="B40" s="16">
        <f>B39+7</f>
        <v/>
      </c>
      <c r="C40" s="16">
        <f>B40+1</f>
        <v/>
      </c>
      <c r="D40" s="16">
        <f>C40+1</f>
        <v/>
      </c>
      <c r="E40" s="16">
        <f>D40+1</f>
        <v/>
      </c>
      <c r="F40" s="16">
        <f>E40+1</f>
        <v/>
      </c>
      <c r="G40" s="16">
        <f>F40+1</f>
        <v/>
      </c>
      <c r="H40" s="16">
        <f>G40+1</f>
        <v/>
      </c>
      <c r="J40" s="5">
        <f>TEXT(B40,"mmmm yyyy")</f>
        <v/>
      </c>
      <c r="K40" s="8">
        <f>SUMPRODUCT((DailyPlan!$A$2:$A$1001&gt;=B40)*(DailyPlan!$A$2:$A$1001&lt;=H40)*(DailyPlan!$F$2:$F$1001))</f>
        <v/>
      </c>
    </row>
    <row r="41">
      <c r="A41" s="5" t="n">
        <v>37</v>
      </c>
      <c r="B41" s="16">
        <f>B40+7</f>
        <v/>
      </c>
      <c r="C41" s="16">
        <f>B41+1</f>
        <v/>
      </c>
      <c r="D41" s="16">
        <f>C41+1</f>
        <v/>
      </c>
      <c r="E41" s="16">
        <f>D41+1</f>
        <v/>
      </c>
      <c r="F41" s="16">
        <f>E41+1</f>
        <v/>
      </c>
      <c r="G41" s="16">
        <f>F41+1</f>
        <v/>
      </c>
      <c r="H41" s="16">
        <f>G41+1</f>
        <v/>
      </c>
      <c r="J41" s="5">
        <f>TEXT(B41,"mmmm yyyy")</f>
        <v/>
      </c>
      <c r="K41" s="8">
        <f>SUMPRODUCT((DailyPlan!$A$2:$A$1001&gt;=B41)*(DailyPlan!$A$2:$A$1001&lt;=H41)*(DailyPlan!$F$2:$F$1001))</f>
        <v/>
      </c>
    </row>
    <row r="42">
      <c r="A42" s="5" t="n">
        <v>38</v>
      </c>
      <c r="B42" s="16">
        <f>B41+7</f>
        <v/>
      </c>
      <c r="C42" s="16">
        <f>B42+1</f>
        <v/>
      </c>
      <c r="D42" s="16">
        <f>C42+1</f>
        <v/>
      </c>
      <c r="E42" s="16">
        <f>D42+1</f>
        <v/>
      </c>
      <c r="F42" s="16">
        <f>E42+1</f>
        <v/>
      </c>
      <c r="G42" s="16">
        <f>F42+1</f>
        <v/>
      </c>
      <c r="H42" s="16">
        <f>G42+1</f>
        <v/>
      </c>
      <c r="J42" s="5">
        <f>TEXT(B42,"mmmm yyyy")</f>
        <v/>
      </c>
      <c r="K42" s="8">
        <f>SUMPRODUCT((DailyPlan!$A$2:$A$1001&gt;=B42)*(DailyPlan!$A$2:$A$1001&lt;=H42)*(DailyPlan!$F$2:$F$1001))</f>
        <v/>
      </c>
    </row>
    <row r="43">
      <c r="A43" s="5" t="n">
        <v>39</v>
      </c>
      <c r="B43" s="16">
        <f>B42+7</f>
        <v/>
      </c>
      <c r="C43" s="16">
        <f>B43+1</f>
        <v/>
      </c>
      <c r="D43" s="16">
        <f>C43+1</f>
        <v/>
      </c>
      <c r="E43" s="16">
        <f>D43+1</f>
        <v/>
      </c>
      <c r="F43" s="16">
        <f>E43+1</f>
        <v/>
      </c>
      <c r="G43" s="16">
        <f>F43+1</f>
        <v/>
      </c>
      <c r="H43" s="16">
        <f>G43+1</f>
        <v/>
      </c>
      <c r="J43" s="5">
        <f>TEXT(B43,"mmmm yyyy")</f>
        <v/>
      </c>
      <c r="K43" s="8">
        <f>SUMPRODUCT((DailyPlan!$A$2:$A$1001&gt;=B43)*(DailyPlan!$A$2:$A$1001&lt;=H43)*(DailyPlan!$F$2:$F$1001))</f>
        <v/>
      </c>
    </row>
    <row r="44">
      <c r="A44" s="5" t="n">
        <v>40</v>
      </c>
      <c r="B44" s="16">
        <f>B43+7</f>
        <v/>
      </c>
      <c r="C44" s="16">
        <f>B44+1</f>
        <v/>
      </c>
      <c r="D44" s="16">
        <f>C44+1</f>
        <v/>
      </c>
      <c r="E44" s="16">
        <f>D44+1</f>
        <v/>
      </c>
      <c r="F44" s="16">
        <f>E44+1</f>
        <v/>
      </c>
      <c r="G44" s="16">
        <f>F44+1</f>
        <v/>
      </c>
      <c r="H44" s="16">
        <f>G44+1</f>
        <v/>
      </c>
      <c r="J44" s="5">
        <f>TEXT(B44,"mmmm yyyy")</f>
        <v/>
      </c>
      <c r="K44" s="8">
        <f>SUMPRODUCT((DailyPlan!$A$2:$A$1001&gt;=B44)*(DailyPlan!$A$2:$A$1001&lt;=H44)*(DailyPlan!$F$2:$F$1001))</f>
        <v/>
      </c>
    </row>
    <row r="45">
      <c r="A45" s="5" t="n">
        <v>41</v>
      </c>
      <c r="B45" s="16">
        <f>B44+7</f>
        <v/>
      </c>
      <c r="C45" s="16">
        <f>B45+1</f>
        <v/>
      </c>
      <c r="D45" s="16">
        <f>C45+1</f>
        <v/>
      </c>
      <c r="E45" s="16">
        <f>D45+1</f>
        <v/>
      </c>
      <c r="F45" s="16">
        <f>E45+1</f>
        <v/>
      </c>
      <c r="G45" s="16">
        <f>F45+1</f>
        <v/>
      </c>
      <c r="H45" s="16">
        <f>G45+1</f>
        <v/>
      </c>
      <c r="J45" s="5">
        <f>TEXT(B45,"mmmm yyyy")</f>
        <v/>
      </c>
      <c r="K45" s="8">
        <f>SUMPRODUCT((DailyPlan!$A$2:$A$1001&gt;=B45)*(DailyPlan!$A$2:$A$1001&lt;=H45)*(DailyPlan!$F$2:$F$1001))</f>
        <v/>
      </c>
    </row>
    <row r="46">
      <c r="A46" s="5" t="n">
        <v>42</v>
      </c>
      <c r="B46" s="16">
        <f>B45+7</f>
        <v/>
      </c>
      <c r="C46" s="16">
        <f>B46+1</f>
        <v/>
      </c>
      <c r="D46" s="16">
        <f>C46+1</f>
        <v/>
      </c>
      <c r="E46" s="16">
        <f>D46+1</f>
        <v/>
      </c>
      <c r="F46" s="16">
        <f>E46+1</f>
        <v/>
      </c>
      <c r="G46" s="16">
        <f>F46+1</f>
        <v/>
      </c>
      <c r="H46" s="16">
        <f>G46+1</f>
        <v/>
      </c>
      <c r="J46" s="5">
        <f>TEXT(B46,"mmmm yyyy")</f>
        <v/>
      </c>
      <c r="K46" s="8">
        <f>SUMPRODUCT((DailyPlan!$A$2:$A$1001&gt;=B46)*(DailyPlan!$A$2:$A$1001&lt;=H46)*(DailyPlan!$F$2:$F$1001))</f>
        <v/>
      </c>
    </row>
    <row r="47">
      <c r="A47" s="5" t="n">
        <v>43</v>
      </c>
      <c r="B47" s="16">
        <f>B46+7</f>
        <v/>
      </c>
      <c r="C47" s="16">
        <f>B47+1</f>
        <v/>
      </c>
      <c r="D47" s="16">
        <f>C47+1</f>
        <v/>
      </c>
      <c r="E47" s="16">
        <f>D47+1</f>
        <v/>
      </c>
      <c r="F47" s="16">
        <f>E47+1</f>
        <v/>
      </c>
      <c r="G47" s="16">
        <f>F47+1</f>
        <v/>
      </c>
      <c r="H47" s="16">
        <f>G47+1</f>
        <v/>
      </c>
      <c r="J47" s="5">
        <f>TEXT(B47,"mmmm yyyy")</f>
        <v/>
      </c>
      <c r="K47" s="8">
        <f>SUMPRODUCT((DailyPlan!$A$2:$A$1001&gt;=B47)*(DailyPlan!$A$2:$A$1001&lt;=H47)*(DailyPlan!$F$2:$F$1001))</f>
        <v/>
      </c>
    </row>
    <row r="48">
      <c r="A48" s="5" t="n">
        <v>44</v>
      </c>
      <c r="B48" s="16">
        <f>B47+7</f>
        <v/>
      </c>
      <c r="C48" s="16">
        <f>B48+1</f>
        <v/>
      </c>
      <c r="D48" s="16">
        <f>C48+1</f>
        <v/>
      </c>
      <c r="E48" s="16">
        <f>D48+1</f>
        <v/>
      </c>
      <c r="F48" s="16">
        <f>E48+1</f>
        <v/>
      </c>
      <c r="G48" s="16">
        <f>F48+1</f>
        <v/>
      </c>
      <c r="H48" s="16">
        <f>G48+1</f>
        <v/>
      </c>
      <c r="J48" s="5">
        <f>TEXT(B48,"mmmm yyyy")</f>
        <v/>
      </c>
      <c r="K48" s="8">
        <f>SUMPRODUCT((DailyPlan!$A$2:$A$1001&gt;=B48)*(DailyPlan!$A$2:$A$1001&lt;=H48)*(DailyPlan!$F$2:$F$1001))</f>
        <v/>
      </c>
    </row>
    <row r="49">
      <c r="A49" s="5" t="n">
        <v>45</v>
      </c>
      <c r="B49" s="16">
        <f>B48+7</f>
        <v/>
      </c>
      <c r="C49" s="16">
        <f>B49+1</f>
        <v/>
      </c>
      <c r="D49" s="16">
        <f>C49+1</f>
        <v/>
      </c>
      <c r="E49" s="16">
        <f>D49+1</f>
        <v/>
      </c>
      <c r="F49" s="16">
        <f>E49+1</f>
        <v/>
      </c>
      <c r="G49" s="16">
        <f>F49+1</f>
        <v/>
      </c>
      <c r="H49" s="16">
        <f>G49+1</f>
        <v/>
      </c>
      <c r="J49" s="5">
        <f>TEXT(B49,"mmmm yyyy")</f>
        <v/>
      </c>
      <c r="K49" s="8">
        <f>SUMPRODUCT((DailyPlan!$A$2:$A$1001&gt;=B49)*(DailyPlan!$A$2:$A$1001&lt;=H49)*(DailyPlan!$F$2:$F$1001))</f>
        <v/>
      </c>
    </row>
    <row r="50">
      <c r="A50" s="5" t="n">
        <v>46</v>
      </c>
      <c r="B50" s="16">
        <f>B49+7</f>
        <v/>
      </c>
      <c r="C50" s="16">
        <f>B50+1</f>
        <v/>
      </c>
      <c r="D50" s="16">
        <f>C50+1</f>
        <v/>
      </c>
      <c r="E50" s="16">
        <f>D50+1</f>
        <v/>
      </c>
      <c r="F50" s="16">
        <f>E50+1</f>
        <v/>
      </c>
      <c r="G50" s="16">
        <f>F50+1</f>
        <v/>
      </c>
      <c r="H50" s="16">
        <f>G50+1</f>
        <v/>
      </c>
      <c r="J50" s="5">
        <f>TEXT(B50,"mmmm yyyy")</f>
        <v/>
      </c>
      <c r="K50" s="8">
        <f>SUMPRODUCT((DailyPlan!$A$2:$A$1001&gt;=B50)*(DailyPlan!$A$2:$A$1001&lt;=H50)*(DailyPlan!$F$2:$F$1001))</f>
        <v/>
      </c>
    </row>
    <row r="51">
      <c r="A51" s="5" t="n">
        <v>47</v>
      </c>
      <c r="B51" s="16">
        <f>B50+7</f>
        <v/>
      </c>
      <c r="C51" s="16">
        <f>B51+1</f>
        <v/>
      </c>
      <c r="D51" s="16">
        <f>C51+1</f>
        <v/>
      </c>
      <c r="E51" s="16">
        <f>D51+1</f>
        <v/>
      </c>
      <c r="F51" s="16">
        <f>E51+1</f>
        <v/>
      </c>
      <c r="G51" s="16">
        <f>F51+1</f>
        <v/>
      </c>
      <c r="H51" s="16">
        <f>G51+1</f>
        <v/>
      </c>
      <c r="J51" s="5">
        <f>TEXT(B51,"mmmm yyyy")</f>
        <v/>
      </c>
      <c r="K51" s="8">
        <f>SUMPRODUCT((DailyPlan!$A$2:$A$1001&gt;=B51)*(DailyPlan!$A$2:$A$1001&lt;=H51)*(DailyPlan!$F$2:$F$1001))</f>
        <v/>
      </c>
    </row>
    <row r="52">
      <c r="A52" s="5" t="n">
        <v>48</v>
      </c>
      <c r="B52" s="16">
        <f>B51+7</f>
        <v/>
      </c>
      <c r="C52" s="16">
        <f>B52+1</f>
        <v/>
      </c>
      <c r="D52" s="16">
        <f>C52+1</f>
        <v/>
      </c>
      <c r="E52" s="16">
        <f>D52+1</f>
        <v/>
      </c>
      <c r="F52" s="16">
        <f>E52+1</f>
        <v/>
      </c>
      <c r="G52" s="16">
        <f>F52+1</f>
        <v/>
      </c>
      <c r="H52" s="16">
        <f>G52+1</f>
        <v/>
      </c>
      <c r="J52" s="5">
        <f>TEXT(B52,"mmmm yyyy")</f>
        <v/>
      </c>
      <c r="K52" s="8">
        <f>SUMPRODUCT((DailyPlan!$A$2:$A$1001&gt;=B52)*(DailyPlan!$A$2:$A$1001&lt;=H52)*(DailyPlan!$F$2:$F$1001))</f>
        <v/>
      </c>
    </row>
    <row r="53">
      <c r="A53" s="5" t="n">
        <v>49</v>
      </c>
      <c r="B53" s="16">
        <f>B52+7</f>
        <v/>
      </c>
      <c r="C53" s="16">
        <f>B53+1</f>
        <v/>
      </c>
      <c r="D53" s="16">
        <f>C53+1</f>
        <v/>
      </c>
      <c r="E53" s="16">
        <f>D53+1</f>
        <v/>
      </c>
      <c r="F53" s="16">
        <f>E53+1</f>
        <v/>
      </c>
      <c r="G53" s="16">
        <f>F53+1</f>
        <v/>
      </c>
      <c r="H53" s="16">
        <f>G53+1</f>
        <v/>
      </c>
      <c r="J53" s="5">
        <f>TEXT(B53,"mmmm yyyy")</f>
        <v/>
      </c>
      <c r="K53" s="8">
        <f>SUMPRODUCT((DailyPlan!$A$2:$A$1001&gt;=B53)*(DailyPlan!$A$2:$A$1001&lt;=H53)*(DailyPlan!$F$2:$F$1001))</f>
        <v/>
      </c>
    </row>
    <row r="54">
      <c r="A54" s="5" t="n">
        <v>50</v>
      </c>
      <c r="B54" s="16">
        <f>B53+7</f>
        <v/>
      </c>
      <c r="C54" s="16">
        <f>B54+1</f>
        <v/>
      </c>
      <c r="D54" s="16">
        <f>C54+1</f>
        <v/>
      </c>
      <c r="E54" s="16">
        <f>D54+1</f>
        <v/>
      </c>
      <c r="F54" s="16">
        <f>E54+1</f>
        <v/>
      </c>
      <c r="G54" s="16">
        <f>F54+1</f>
        <v/>
      </c>
      <c r="H54" s="16">
        <f>G54+1</f>
        <v/>
      </c>
      <c r="J54" s="5">
        <f>TEXT(B54,"mmmm yyyy")</f>
        <v/>
      </c>
      <c r="K54" s="8">
        <f>SUMPRODUCT((DailyPlan!$A$2:$A$1001&gt;=B54)*(DailyPlan!$A$2:$A$1001&lt;=H54)*(DailyPlan!$F$2:$F$1001))</f>
        <v/>
      </c>
    </row>
    <row r="55">
      <c r="A55" s="5" t="n">
        <v>51</v>
      </c>
      <c r="B55" s="16">
        <f>B54+7</f>
        <v/>
      </c>
      <c r="C55" s="16">
        <f>B55+1</f>
        <v/>
      </c>
      <c r="D55" s="16">
        <f>C55+1</f>
        <v/>
      </c>
      <c r="E55" s="16">
        <f>D55+1</f>
        <v/>
      </c>
      <c r="F55" s="16">
        <f>E55+1</f>
        <v/>
      </c>
      <c r="G55" s="16">
        <f>F55+1</f>
        <v/>
      </c>
      <c r="H55" s="16">
        <f>G55+1</f>
        <v/>
      </c>
      <c r="J55" s="5">
        <f>TEXT(B55,"mmmm yyyy")</f>
        <v/>
      </c>
      <c r="K55" s="8">
        <f>SUMPRODUCT((DailyPlan!$A$2:$A$1001&gt;=B55)*(DailyPlan!$A$2:$A$1001&lt;=H55)*(DailyPlan!$F$2:$F$1001))</f>
        <v/>
      </c>
    </row>
    <row r="56">
      <c r="A56" s="5" t="n">
        <v>52</v>
      </c>
      <c r="B56" s="16">
        <f>B55+7</f>
        <v/>
      </c>
      <c r="C56" s="16">
        <f>B56+1</f>
        <v/>
      </c>
      <c r="D56" s="16">
        <f>C56+1</f>
        <v/>
      </c>
      <c r="E56" s="16">
        <f>D56+1</f>
        <v/>
      </c>
      <c r="F56" s="16">
        <f>E56+1</f>
        <v/>
      </c>
      <c r="G56" s="16">
        <f>F56+1</f>
        <v/>
      </c>
      <c r="H56" s="16">
        <f>G56+1</f>
        <v/>
      </c>
      <c r="J56" s="5">
        <f>TEXT(B56,"mmmm yyyy")</f>
        <v/>
      </c>
      <c r="K56" s="8">
        <f>SUMPRODUCT((DailyPlan!$A$2:$A$1001&gt;=B56)*(DailyPlan!$A$2:$A$1001&lt;=H56)*(DailyPlan!$F$2:$F$1001))</f>
        <v/>
      </c>
    </row>
    <row r="57">
      <c r="A57" s="5" t="n">
        <v>53</v>
      </c>
      <c r="B57" s="16">
        <f>B56+7</f>
        <v/>
      </c>
      <c r="C57" s="16">
        <f>B57+1</f>
        <v/>
      </c>
      <c r="D57" s="16">
        <f>C57+1</f>
        <v/>
      </c>
      <c r="E57" s="16">
        <f>D57+1</f>
        <v/>
      </c>
      <c r="F57" s="16">
        <f>E57+1</f>
        <v/>
      </c>
      <c r="G57" s="16">
        <f>F57+1</f>
        <v/>
      </c>
      <c r="H57" s="16">
        <f>G57+1</f>
        <v/>
      </c>
      <c r="J57" s="5">
        <f>TEXT(B57,"mmmm yyyy")</f>
        <v/>
      </c>
      <c r="K57" s="8">
        <f>SUMPRODUCT((DailyPlan!$A$2:$A$1001&gt;=B57)*(DailyPlan!$A$2:$A$1001&lt;=H57)*(DailyPlan!$F$2:$F$1001))</f>
        <v/>
      </c>
    </row>
    <row r="58">
      <c r="A58" s="5" t="n">
        <v>54</v>
      </c>
      <c r="B58" s="16">
        <f>B57+7</f>
        <v/>
      </c>
      <c r="C58" s="16">
        <f>B58+1</f>
        <v/>
      </c>
      <c r="D58" s="16">
        <f>C58+1</f>
        <v/>
      </c>
      <c r="E58" s="16">
        <f>D58+1</f>
        <v/>
      </c>
      <c r="F58" s="16">
        <f>E58+1</f>
        <v/>
      </c>
      <c r="G58" s="16">
        <f>F58+1</f>
        <v/>
      </c>
      <c r="H58" s="16">
        <f>G58+1</f>
        <v/>
      </c>
      <c r="J58" s="5">
        <f>TEXT(B58,"mmmm yyyy")</f>
        <v/>
      </c>
      <c r="K58" s="8">
        <f>SUMPRODUCT((DailyPlan!$A$2:$A$1001&gt;=B58)*(DailyPlan!$A$2:$A$1001&lt;=H58)*(DailyPlan!$F$2:$F$1001))</f>
        <v/>
      </c>
    </row>
    <row r="59">
      <c r="A59" s="5" t="n">
        <v>55</v>
      </c>
      <c r="B59" s="16">
        <f>B58+7</f>
        <v/>
      </c>
      <c r="C59" s="16">
        <f>B59+1</f>
        <v/>
      </c>
      <c r="D59" s="16">
        <f>C59+1</f>
        <v/>
      </c>
      <c r="E59" s="16">
        <f>D59+1</f>
        <v/>
      </c>
      <c r="F59" s="16">
        <f>E59+1</f>
        <v/>
      </c>
      <c r="G59" s="16">
        <f>F59+1</f>
        <v/>
      </c>
      <c r="H59" s="16">
        <f>G59+1</f>
        <v/>
      </c>
      <c r="J59" s="5">
        <f>TEXT(B59,"mmmm yyyy")</f>
        <v/>
      </c>
      <c r="K59" s="8">
        <f>SUMPRODUCT((DailyPlan!$A$2:$A$1001&gt;=B59)*(DailyPlan!$A$2:$A$1001&lt;=H59)*(DailyPlan!$F$2:$F$1001))</f>
        <v/>
      </c>
    </row>
    <row r="60">
      <c r="A60" s="5" t="n">
        <v>56</v>
      </c>
      <c r="B60" s="16">
        <f>B59+7</f>
        <v/>
      </c>
      <c r="C60" s="16">
        <f>B60+1</f>
        <v/>
      </c>
      <c r="D60" s="16">
        <f>C60+1</f>
        <v/>
      </c>
      <c r="E60" s="16">
        <f>D60+1</f>
        <v/>
      </c>
      <c r="F60" s="16">
        <f>E60+1</f>
        <v/>
      </c>
      <c r="G60" s="16">
        <f>F60+1</f>
        <v/>
      </c>
      <c r="H60" s="16">
        <f>G60+1</f>
        <v/>
      </c>
      <c r="J60" s="5">
        <f>TEXT(B60,"mmmm yyyy")</f>
        <v/>
      </c>
      <c r="K60" s="8">
        <f>SUMPRODUCT((DailyPlan!$A$2:$A$1001&gt;=B60)*(DailyPlan!$A$2:$A$1001&lt;=H60)*(DailyPlan!$F$2:$F$1001))</f>
        <v/>
      </c>
    </row>
    <row r="61">
      <c r="A61" s="5" t="n">
        <v>57</v>
      </c>
      <c r="B61" s="16">
        <f>B60+7</f>
        <v/>
      </c>
      <c r="C61" s="16">
        <f>B61+1</f>
        <v/>
      </c>
      <c r="D61" s="16">
        <f>C61+1</f>
        <v/>
      </c>
      <c r="E61" s="16">
        <f>D61+1</f>
        <v/>
      </c>
      <c r="F61" s="16">
        <f>E61+1</f>
        <v/>
      </c>
      <c r="G61" s="16">
        <f>F61+1</f>
        <v/>
      </c>
      <c r="H61" s="16">
        <f>G61+1</f>
        <v/>
      </c>
      <c r="J61" s="5">
        <f>TEXT(B61,"mmmm yyyy")</f>
        <v/>
      </c>
      <c r="K61" s="8">
        <f>SUMPRODUCT((DailyPlan!$A$2:$A$1001&gt;=B61)*(DailyPlan!$A$2:$A$1001&lt;=H61)*(DailyPlan!$F$2:$F$1001))</f>
        <v/>
      </c>
    </row>
    <row r="62">
      <c r="A62" s="5" t="n">
        <v>58</v>
      </c>
      <c r="B62" s="16">
        <f>B61+7</f>
        <v/>
      </c>
      <c r="C62" s="16">
        <f>B62+1</f>
        <v/>
      </c>
      <c r="D62" s="16">
        <f>C62+1</f>
        <v/>
      </c>
      <c r="E62" s="16">
        <f>D62+1</f>
        <v/>
      </c>
      <c r="F62" s="16">
        <f>E62+1</f>
        <v/>
      </c>
      <c r="G62" s="16">
        <f>F62+1</f>
        <v/>
      </c>
      <c r="H62" s="16">
        <f>G62+1</f>
        <v/>
      </c>
      <c r="J62" s="5">
        <f>TEXT(B62,"mmmm yyyy")</f>
        <v/>
      </c>
      <c r="K62" s="8">
        <f>SUMPRODUCT((DailyPlan!$A$2:$A$1001&gt;=B62)*(DailyPlan!$A$2:$A$1001&lt;=H62)*(DailyPlan!$F$2:$F$1001))</f>
        <v/>
      </c>
    </row>
    <row r="63">
      <c r="A63" s="5" t="n">
        <v>59</v>
      </c>
      <c r="B63" s="16">
        <f>B62+7</f>
        <v/>
      </c>
      <c r="C63" s="16">
        <f>B63+1</f>
        <v/>
      </c>
      <c r="D63" s="16">
        <f>C63+1</f>
        <v/>
      </c>
      <c r="E63" s="16">
        <f>D63+1</f>
        <v/>
      </c>
      <c r="F63" s="16">
        <f>E63+1</f>
        <v/>
      </c>
      <c r="G63" s="16">
        <f>F63+1</f>
        <v/>
      </c>
      <c r="H63" s="16">
        <f>G63+1</f>
        <v/>
      </c>
      <c r="J63" s="5">
        <f>TEXT(B63,"mmmm yyyy")</f>
        <v/>
      </c>
      <c r="K63" s="8">
        <f>SUMPRODUCT((DailyPlan!$A$2:$A$1001&gt;=B63)*(DailyPlan!$A$2:$A$1001&lt;=H63)*(DailyPlan!$F$2:$F$1001))</f>
        <v/>
      </c>
    </row>
    <row r="64">
      <c r="A64" s="5" t="n">
        <v>60</v>
      </c>
      <c r="B64" s="16">
        <f>B63+7</f>
        <v/>
      </c>
      <c r="C64" s="16">
        <f>B64+1</f>
        <v/>
      </c>
      <c r="D64" s="16">
        <f>C64+1</f>
        <v/>
      </c>
      <c r="E64" s="16">
        <f>D64+1</f>
        <v/>
      </c>
      <c r="F64" s="16">
        <f>E64+1</f>
        <v/>
      </c>
      <c r="G64" s="16">
        <f>F64+1</f>
        <v/>
      </c>
      <c r="H64" s="16">
        <f>G64+1</f>
        <v/>
      </c>
      <c r="J64" s="5">
        <f>TEXT(B64,"mmmm yyyy")</f>
        <v/>
      </c>
      <c r="K64" s="8">
        <f>SUMPRODUCT((DailyPlan!$A$2:$A$1001&gt;=B64)*(DailyPlan!$A$2:$A$1001&lt;=H64)*(DailyPlan!$F$2:$F$1001))</f>
        <v/>
      </c>
    </row>
  </sheetData>
  <conditionalFormatting sqref="B5:H64">
    <cfRule type="expression" priority="1" dxfId="2">
      <formula>OR(B5&lt;Eingabe!$B$3,B5&gt;Eingabe!$B$4)</formula>
    </cfRule>
    <cfRule type="expression" priority="2" dxfId="0">
      <formula>IFERROR(INDEX(DailyPlan!$L$2:$L$1001,MATCH(B5,DailyPlan!$A$2:$A$1001,0)),"")="OK"</formula>
    </cfRule>
    <cfRule type="expression" priority="3" dxfId="1">
      <formula>IFERROR(INDEX(DailyPlan!$L$2:$L$1001,MATCH(B5,DailyPlan!$A$2:$A$1001,0)),"")="UNMOEGLICH"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0" customWidth="1" min="4" max="4"/>
    <col width="10" customWidth="1" min="6" max="6"/>
    <col width="12" customWidth="1" min="7" max="7"/>
    <col width="10" customWidth="1" min="8" max="8"/>
    <col width="10" customWidth="1" min="9" max="9"/>
  </cols>
  <sheetData>
    <row r="1">
      <c r="A1" s="1" t="inlineStr">
        <is>
          <t>Budget/Sprint Dashboard - Balkendiagramm</t>
        </is>
      </c>
    </row>
    <row r="3">
      <c r="A3" s="4" t="inlineStr">
        <is>
          <t>Gesamt</t>
        </is>
      </c>
      <c r="B3" s="4" t="inlineStr">
        <is>
          <t>Geplant</t>
        </is>
      </c>
      <c r="C3" s="4" t="inlineStr">
        <is>
          <t>Cap</t>
        </is>
      </c>
      <c r="D3" s="4" t="inlineStr">
        <is>
          <t>Rest</t>
        </is>
      </c>
    </row>
    <row r="4">
      <c r="A4" s="5" t="inlineStr">
        <is>
          <t>Projekt gesamt</t>
        </is>
      </c>
      <c r="B4" s="8">
        <f>SUM(DailyPlan!$F$2:$F$1001)</f>
        <v/>
      </c>
      <c r="C4" s="8">
        <f>Eingabe!$B$7</f>
        <v/>
      </c>
      <c r="D4" s="8">
        <f>C4-B4</f>
        <v/>
      </c>
    </row>
    <row r="7">
      <c r="A7" s="4" t="inlineStr">
        <is>
          <t>Monat</t>
        </is>
      </c>
      <c r="B7" s="4" t="inlineStr">
        <is>
          <t>Geplant</t>
        </is>
      </c>
      <c r="C7" s="4" t="inlineStr">
        <is>
          <t>Cap</t>
        </is>
      </c>
      <c r="D7" s="4" t="inlineStr">
        <is>
          <t>Rest</t>
        </is>
      </c>
      <c r="F7" s="4" t="inlineStr">
        <is>
          <t>Sprint</t>
        </is>
      </c>
      <c r="G7" s="4" t="inlineStr">
        <is>
          <t>Geplant</t>
        </is>
      </c>
      <c r="H7" s="4" t="inlineStr">
        <is>
          <t>Cap</t>
        </is>
      </c>
      <c r="I7" s="4" t="inlineStr">
        <is>
          <t>Rest</t>
        </is>
      </c>
    </row>
    <row r="8">
      <c r="A8" s="5">
        <f>TEXT(EDATE(Eingabe!$B$3,0),"yyyy-mm")</f>
        <v/>
      </c>
      <c r="B8" s="8">
        <f>SUMIFS(DailyPlan!$F$2:$F$1001,DailyPlan!$D$2:$D$1001,A8)</f>
        <v/>
      </c>
      <c r="C8" s="8">
        <f>Eingabe!$B$8</f>
        <v/>
      </c>
      <c r="D8" s="8">
        <f>C8-B8</f>
        <v/>
      </c>
      <c r="F8" s="5" t="n">
        <v>1</v>
      </c>
      <c r="G8" s="8">
        <f>SUMIFS(DailyPlan!$F$2:$F$1001,DailyPlan!$E$2:$E$1001,F8)</f>
        <v/>
      </c>
      <c r="H8" s="8">
        <f>IFERROR(VLOOKUP(F8,Eingabe!$D$5:$E$44,2,FALSE),Eingabe!$B$9)</f>
        <v/>
      </c>
      <c r="I8" s="8">
        <f>H8-G8</f>
        <v/>
      </c>
    </row>
    <row r="9">
      <c r="A9" s="5">
        <f>TEXT(EDATE(Eingabe!$B$3,1),"yyyy-mm")</f>
        <v/>
      </c>
      <c r="B9" s="8">
        <f>SUMIFS(DailyPlan!$F$2:$F$1001,DailyPlan!$D$2:$D$1001,A9)</f>
        <v/>
      </c>
      <c r="C9" s="8">
        <f>Eingabe!$B$8</f>
        <v/>
      </c>
      <c r="D9" s="8">
        <f>C9-B9</f>
        <v/>
      </c>
      <c r="F9" s="5" t="n">
        <v>2</v>
      </c>
      <c r="G9" s="8">
        <f>SUMIFS(DailyPlan!$F$2:$F$1001,DailyPlan!$E$2:$E$1001,F9)</f>
        <v/>
      </c>
      <c r="H9" s="8">
        <f>IFERROR(VLOOKUP(F9,Eingabe!$D$5:$E$44,2,FALSE),Eingabe!$B$9)</f>
        <v/>
      </c>
      <c r="I9" s="8">
        <f>H9-G9</f>
        <v/>
      </c>
    </row>
    <row r="10">
      <c r="A10" s="5">
        <f>TEXT(EDATE(Eingabe!$B$3,2),"yyyy-mm")</f>
        <v/>
      </c>
      <c r="B10" s="8">
        <f>SUMIFS(DailyPlan!$F$2:$F$1001,DailyPlan!$D$2:$D$1001,A10)</f>
        <v/>
      </c>
      <c r="C10" s="8">
        <f>Eingabe!$B$8</f>
        <v/>
      </c>
      <c r="D10" s="8">
        <f>C10-B10</f>
        <v/>
      </c>
      <c r="F10" s="5" t="n">
        <v>3</v>
      </c>
      <c r="G10" s="8">
        <f>SUMIFS(DailyPlan!$F$2:$F$1001,DailyPlan!$E$2:$E$1001,F10)</f>
        <v/>
      </c>
      <c r="H10" s="8">
        <f>IFERROR(VLOOKUP(F10,Eingabe!$D$5:$E$44,2,FALSE),Eingabe!$B$9)</f>
        <v/>
      </c>
      <c r="I10" s="8">
        <f>H10-G10</f>
        <v/>
      </c>
    </row>
    <row r="11">
      <c r="A11" s="5">
        <f>TEXT(EDATE(Eingabe!$B$3,3),"yyyy-mm")</f>
        <v/>
      </c>
      <c r="B11" s="8">
        <f>SUMIFS(DailyPlan!$F$2:$F$1001,DailyPlan!$D$2:$D$1001,A11)</f>
        <v/>
      </c>
      <c r="C11" s="8">
        <f>Eingabe!$B$8</f>
        <v/>
      </c>
      <c r="D11" s="8">
        <f>C11-B11</f>
        <v/>
      </c>
      <c r="F11" s="5" t="n">
        <v>4</v>
      </c>
      <c r="G11" s="8">
        <f>SUMIFS(DailyPlan!$F$2:$F$1001,DailyPlan!$E$2:$E$1001,F11)</f>
        <v/>
      </c>
      <c r="H11" s="8">
        <f>IFERROR(VLOOKUP(F11,Eingabe!$D$5:$E$44,2,FALSE),Eingabe!$B$9)</f>
        <v/>
      </c>
      <c r="I11" s="8">
        <f>H11-G11</f>
        <v/>
      </c>
    </row>
    <row r="12">
      <c r="A12" s="5">
        <f>TEXT(EDATE(Eingabe!$B$3,4),"yyyy-mm")</f>
        <v/>
      </c>
      <c r="B12" s="8">
        <f>SUMIFS(DailyPlan!$F$2:$F$1001,DailyPlan!$D$2:$D$1001,A12)</f>
        <v/>
      </c>
      <c r="C12" s="8">
        <f>Eingabe!$B$8</f>
        <v/>
      </c>
      <c r="D12" s="8">
        <f>C12-B12</f>
        <v/>
      </c>
      <c r="F12" s="5" t="n">
        <v>5</v>
      </c>
      <c r="G12" s="8">
        <f>SUMIFS(DailyPlan!$F$2:$F$1001,DailyPlan!$E$2:$E$1001,F12)</f>
        <v/>
      </c>
      <c r="H12" s="8">
        <f>IFERROR(VLOOKUP(F12,Eingabe!$D$5:$E$44,2,FALSE),Eingabe!$B$9)</f>
        <v/>
      </c>
      <c r="I12" s="8">
        <f>H12-G12</f>
        <v/>
      </c>
    </row>
    <row r="13">
      <c r="A13" s="5">
        <f>TEXT(EDATE(Eingabe!$B$3,5),"yyyy-mm")</f>
        <v/>
      </c>
      <c r="B13" s="8">
        <f>SUMIFS(DailyPlan!$F$2:$F$1001,DailyPlan!$D$2:$D$1001,A13)</f>
        <v/>
      </c>
      <c r="C13" s="8">
        <f>Eingabe!$B$8</f>
        <v/>
      </c>
      <c r="D13" s="8">
        <f>C13-B13</f>
        <v/>
      </c>
      <c r="F13" s="5" t="n">
        <v>6</v>
      </c>
      <c r="G13" s="8">
        <f>SUMIFS(DailyPlan!$F$2:$F$1001,DailyPlan!$E$2:$E$1001,F13)</f>
        <v/>
      </c>
      <c r="H13" s="8">
        <f>IFERROR(VLOOKUP(F13,Eingabe!$D$5:$E$44,2,FALSE),Eingabe!$B$9)</f>
        <v/>
      </c>
      <c r="I13" s="8">
        <f>H13-G13</f>
        <v/>
      </c>
    </row>
    <row r="14">
      <c r="A14" s="5">
        <f>TEXT(EDATE(Eingabe!$B$3,6),"yyyy-mm")</f>
        <v/>
      </c>
      <c r="B14" s="8">
        <f>SUMIFS(DailyPlan!$F$2:$F$1001,DailyPlan!$D$2:$D$1001,A14)</f>
        <v/>
      </c>
      <c r="C14" s="8">
        <f>Eingabe!$B$8</f>
        <v/>
      </c>
      <c r="D14" s="8">
        <f>C14-B14</f>
        <v/>
      </c>
      <c r="F14" s="5" t="n">
        <v>7</v>
      </c>
      <c r="G14" s="8">
        <f>SUMIFS(DailyPlan!$F$2:$F$1001,DailyPlan!$E$2:$E$1001,F14)</f>
        <v/>
      </c>
      <c r="H14" s="8">
        <f>IFERROR(VLOOKUP(F14,Eingabe!$D$5:$E$44,2,FALSE),Eingabe!$B$9)</f>
        <v/>
      </c>
      <c r="I14" s="8">
        <f>H14-G14</f>
        <v/>
      </c>
    </row>
    <row r="15">
      <c r="A15" s="5">
        <f>TEXT(EDATE(Eingabe!$B$3,7),"yyyy-mm")</f>
        <v/>
      </c>
      <c r="B15" s="8">
        <f>SUMIFS(DailyPlan!$F$2:$F$1001,DailyPlan!$D$2:$D$1001,A15)</f>
        <v/>
      </c>
      <c r="C15" s="8">
        <f>Eingabe!$B$8</f>
        <v/>
      </c>
      <c r="D15" s="8">
        <f>C15-B15</f>
        <v/>
      </c>
      <c r="F15" s="5" t="n">
        <v>8</v>
      </c>
      <c r="G15" s="8">
        <f>SUMIFS(DailyPlan!$F$2:$F$1001,DailyPlan!$E$2:$E$1001,F15)</f>
        <v/>
      </c>
      <c r="H15" s="8">
        <f>IFERROR(VLOOKUP(F15,Eingabe!$D$5:$E$44,2,FALSE),Eingabe!$B$9)</f>
        <v/>
      </c>
      <c r="I15" s="8">
        <f>H15-G15</f>
        <v/>
      </c>
    </row>
    <row r="16">
      <c r="A16" s="5">
        <f>TEXT(EDATE(Eingabe!$B$3,8),"yyyy-mm")</f>
        <v/>
      </c>
      <c r="B16" s="8">
        <f>SUMIFS(DailyPlan!$F$2:$F$1001,DailyPlan!$D$2:$D$1001,A16)</f>
        <v/>
      </c>
      <c r="C16" s="8">
        <f>Eingabe!$B$8</f>
        <v/>
      </c>
      <c r="D16" s="8">
        <f>C16-B16</f>
        <v/>
      </c>
      <c r="F16" s="5" t="n">
        <v>9</v>
      </c>
      <c r="G16" s="8">
        <f>SUMIFS(DailyPlan!$F$2:$F$1001,DailyPlan!$E$2:$E$1001,F16)</f>
        <v/>
      </c>
      <c r="H16" s="8">
        <f>IFERROR(VLOOKUP(F16,Eingabe!$D$5:$E$44,2,FALSE),Eingabe!$B$9)</f>
        <v/>
      </c>
      <c r="I16" s="8">
        <f>H16-G16</f>
        <v/>
      </c>
    </row>
    <row r="17">
      <c r="A17" s="5">
        <f>TEXT(EDATE(Eingabe!$B$3,9),"yyyy-mm")</f>
        <v/>
      </c>
      <c r="B17" s="8">
        <f>SUMIFS(DailyPlan!$F$2:$F$1001,DailyPlan!$D$2:$D$1001,A17)</f>
        <v/>
      </c>
      <c r="C17" s="8">
        <f>Eingabe!$B$8</f>
        <v/>
      </c>
      <c r="D17" s="8">
        <f>C17-B17</f>
        <v/>
      </c>
      <c r="F17" s="5" t="n">
        <v>10</v>
      </c>
      <c r="G17" s="8">
        <f>SUMIFS(DailyPlan!$F$2:$F$1001,DailyPlan!$E$2:$E$1001,F17)</f>
        <v/>
      </c>
      <c r="H17" s="8">
        <f>IFERROR(VLOOKUP(F17,Eingabe!$D$5:$E$44,2,FALSE),Eingabe!$B$9)</f>
        <v/>
      </c>
      <c r="I17" s="8">
        <f>H17-G17</f>
        <v/>
      </c>
    </row>
    <row r="18">
      <c r="A18" s="5">
        <f>TEXT(EDATE(Eingabe!$B$3,10),"yyyy-mm")</f>
        <v/>
      </c>
      <c r="B18" s="8">
        <f>SUMIFS(DailyPlan!$F$2:$F$1001,DailyPlan!$D$2:$D$1001,A18)</f>
        <v/>
      </c>
      <c r="C18" s="8">
        <f>Eingabe!$B$8</f>
        <v/>
      </c>
      <c r="D18" s="8">
        <f>C18-B18</f>
        <v/>
      </c>
      <c r="F18" s="5" t="n">
        <v>11</v>
      </c>
      <c r="G18" s="8">
        <f>SUMIFS(DailyPlan!$F$2:$F$1001,DailyPlan!$E$2:$E$1001,F18)</f>
        <v/>
      </c>
      <c r="H18" s="8">
        <f>IFERROR(VLOOKUP(F18,Eingabe!$D$5:$E$44,2,FALSE),Eingabe!$B$9)</f>
        <v/>
      </c>
      <c r="I18" s="8">
        <f>H18-G18</f>
        <v/>
      </c>
    </row>
    <row r="19">
      <c r="A19" s="5">
        <f>TEXT(EDATE(Eingabe!$B$3,11),"yyyy-mm")</f>
        <v/>
      </c>
      <c r="B19" s="8">
        <f>SUMIFS(DailyPlan!$F$2:$F$1001,DailyPlan!$D$2:$D$1001,A19)</f>
        <v/>
      </c>
      <c r="C19" s="8">
        <f>Eingabe!$B$8</f>
        <v/>
      </c>
      <c r="D19" s="8">
        <f>C19-B19</f>
        <v/>
      </c>
      <c r="F19" s="5" t="n">
        <v>12</v>
      </c>
      <c r="G19" s="8">
        <f>SUMIFS(DailyPlan!$F$2:$F$1001,DailyPlan!$E$2:$E$1001,F19)</f>
        <v/>
      </c>
      <c r="H19" s="8">
        <f>IFERROR(VLOOKUP(F19,Eingabe!$D$5:$E$44,2,FALSE),Eingabe!$B$9)</f>
        <v/>
      </c>
      <c r="I19" s="8">
        <f>H19-G19</f>
        <v/>
      </c>
    </row>
    <row r="20">
      <c r="A20" s="5">
        <f>TEXT(EDATE(Eingabe!$B$3,12),"yyyy-mm")</f>
        <v/>
      </c>
      <c r="B20" s="8">
        <f>SUMIFS(DailyPlan!$F$2:$F$1001,DailyPlan!$D$2:$D$1001,A20)</f>
        <v/>
      </c>
      <c r="C20" s="8">
        <f>Eingabe!$B$8</f>
        <v/>
      </c>
      <c r="D20" s="8">
        <f>C20-B20</f>
        <v/>
      </c>
      <c r="F20" s="5" t="n">
        <v>13</v>
      </c>
      <c r="G20" s="8">
        <f>SUMIFS(DailyPlan!$F$2:$F$1001,DailyPlan!$E$2:$E$1001,F20)</f>
        <v/>
      </c>
      <c r="H20" s="8">
        <f>IFERROR(VLOOKUP(F20,Eingabe!$D$5:$E$44,2,FALSE),Eingabe!$B$9)</f>
        <v/>
      </c>
      <c r="I20" s="8">
        <f>H20-G20</f>
        <v/>
      </c>
    </row>
    <row r="21">
      <c r="A21" s="5">
        <f>TEXT(EDATE(Eingabe!$B$3,13),"yyyy-mm")</f>
        <v/>
      </c>
      <c r="B21" s="8">
        <f>SUMIFS(DailyPlan!$F$2:$F$1001,DailyPlan!$D$2:$D$1001,A21)</f>
        <v/>
      </c>
      <c r="C21" s="8">
        <f>Eingabe!$B$8</f>
        <v/>
      </c>
      <c r="D21" s="8">
        <f>C21-B21</f>
        <v/>
      </c>
      <c r="F21" s="5" t="n">
        <v>14</v>
      </c>
      <c r="G21" s="8">
        <f>SUMIFS(DailyPlan!$F$2:$F$1001,DailyPlan!$E$2:$E$1001,F21)</f>
        <v/>
      </c>
      <c r="H21" s="8">
        <f>IFERROR(VLOOKUP(F21,Eingabe!$D$5:$E$44,2,FALSE),Eingabe!$B$9)</f>
        <v/>
      </c>
      <c r="I21" s="8">
        <f>H21-G21</f>
        <v/>
      </c>
    </row>
    <row r="22">
      <c r="A22" s="5">
        <f>TEXT(EDATE(Eingabe!$B$3,14),"yyyy-mm")</f>
        <v/>
      </c>
      <c r="B22" s="8">
        <f>SUMIFS(DailyPlan!$F$2:$F$1001,DailyPlan!$D$2:$D$1001,A22)</f>
        <v/>
      </c>
      <c r="C22" s="8">
        <f>Eingabe!$B$8</f>
        <v/>
      </c>
      <c r="D22" s="8">
        <f>C22-B22</f>
        <v/>
      </c>
      <c r="F22" s="5" t="n">
        <v>15</v>
      </c>
      <c r="G22" s="8">
        <f>SUMIFS(DailyPlan!$F$2:$F$1001,DailyPlan!$E$2:$E$1001,F22)</f>
        <v/>
      </c>
      <c r="H22" s="8">
        <f>IFERROR(VLOOKUP(F22,Eingabe!$D$5:$E$44,2,FALSE),Eingabe!$B$9)</f>
        <v/>
      </c>
      <c r="I22" s="8">
        <f>H22-G22</f>
        <v/>
      </c>
    </row>
    <row r="23">
      <c r="A23" s="5">
        <f>TEXT(EDATE(Eingabe!$B$3,15),"yyyy-mm")</f>
        <v/>
      </c>
      <c r="B23" s="8">
        <f>SUMIFS(DailyPlan!$F$2:$F$1001,DailyPlan!$D$2:$D$1001,A23)</f>
        <v/>
      </c>
      <c r="C23" s="8">
        <f>Eingabe!$B$8</f>
        <v/>
      </c>
      <c r="D23" s="8">
        <f>C23-B23</f>
        <v/>
      </c>
      <c r="F23" s="5" t="n">
        <v>16</v>
      </c>
      <c r="G23" s="8">
        <f>SUMIFS(DailyPlan!$F$2:$F$1001,DailyPlan!$E$2:$E$1001,F23)</f>
        <v/>
      </c>
      <c r="H23" s="8">
        <f>IFERROR(VLOOKUP(F23,Eingabe!$D$5:$E$44,2,FALSE),Eingabe!$B$9)</f>
        <v/>
      </c>
      <c r="I23" s="8">
        <f>H23-G23</f>
        <v/>
      </c>
    </row>
    <row r="24">
      <c r="A24" s="5">
        <f>TEXT(EDATE(Eingabe!$B$3,16),"yyyy-mm")</f>
        <v/>
      </c>
      <c r="B24" s="8">
        <f>SUMIFS(DailyPlan!$F$2:$F$1001,DailyPlan!$D$2:$D$1001,A24)</f>
        <v/>
      </c>
      <c r="C24" s="8">
        <f>Eingabe!$B$8</f>
        <v/>
      </c>
      <c r="D24" s="8">
        <f>C24-B24</f>
        <v/>
      </c>
      <c r="F24" s="5" t="n">
        <v>17</v>
      </c>
      <c r="G24" s="8">
        <f>SUMIFS(DailyPlan!$F$2:$F$1001,DailyPlan!$E$2:$E$1001,F24)</f>
        <v/>
      </c>
      <c r="H24" s="8">
        <f>IFERROR(VLOOKUP(F24,Eingabe!$D$5:$E$44,2,FALSE),Eingabe!$B$9)</f>
        <v/>
      </c>
      <c r="I24" s="8">
        <f>H24-G24</f>
        <v/>
      </c>
    </row>
    <row r="25">
      <c r="A25" s="5">
        <f>TEXT(EDATE(Eingabe!$B$3,17),"yyyy-mm")</f>
        <v/>
      </c>
      <c r="B25" s="8">
        <f>SUMIFS(DailyPlan!$F$2:$F$1001,DailyPlan!$D$2:$D$1001,A25)</f>
        <v/>
      </c>
      <c r="C25" s="8">
        <f>Eingabe!$B$8</f>
        <v/>
      </c>
      <c r="D25" s="8">
        <f>C25-B25</f>
        <v/>
      </c>
      <c r="F25" s="5" t="n">
        <v>18</v>
      </c>
      <c r="G25" s="8">
        <f>SUMIFS(DailyPlan!$F$2:$F$1001,DailyPlan!$E$2:$E$1001,F25)</f>
        <v/>
      </c>
      <c r="H25" s="8">
        <f>IFERROR(VLOOKUP(F25,Eingabe!$D$5:$E$44,2,FALSE),Eingabe!$B$9)</f>
        <v/>
      </c>
      <c r="I25" s="8">
        <f>H25-G25</f>
        <v/>
      </c>
    </row>
    <row r="26">
      <c r="A26" s="5">
        <f>TEXT(EDATE(Eingabe!$B$3,18),"yyyy-mm")</f>
        <v/>
      </c>
      <c r="B26" s="8">
        <f>SUMIFS(DailyPlan!$F$2:$F$1001,DailyPlan!$D$2:$D$1001,A26)</f>
        <v/>
      </c>
      <c r="C26" s="8">
        <f>Eingabe!$B$8</f>
        <v/>
      </c>
      <c r="D26" s="8">
        <f>C26-B26</f>
        <v/>
      </c>
      <c r="F26" s="5" t="n">
        <v>19</v>
      </c>
      <c r="G26" s="8">
        <f>SUMIFS(DailyPlan!$F$2:$F$1001,DailyPlan!$E$2:$E$1001,F26)</f>
        <v/>
      </c>
      <c r="H26" s="8">
        <f>IFERROR(VLOOKUP(F26,Eingabe!$D$5:$E$44,2,FALSE),Eingabe!$B$9)</f>
        <v/>
      </c>
      <c r="I26" s="8">
        <f>H26-G26</f>
        <v/>
      </c>
    </row>
    <row r="27">
      <c r="A27" s="5">
        <f>TEXT(EDATE(Eingabe!$B$3,19),"yyyy-mm")</f>
        <v/>
      </c>
      <c r="B27" s="8">
        <f>SUMIFS(DailyPlan!$F$2:$F$1001,DailyPlan!$D$2:$D$1001,A27)</f>
        <v/>
      </c>
      <c r="C27" s="8">
        <f>Eingabe!$B$8</f>
        <v/>
      </c>
      <c r="D27" s="8">
        <f>C27-B27</f>
        <v/>
      </c>
      <c r="F27" s="5" t="n">
        <v>20</v>
      </c>
      <c r="G27" s="8">
        <f>SUMIFS(DailyPlan!$F$2:$F$1001,DailyPlan!$E$2:$E$1001,F27)</f>
        <v/>
      </c>
      <c r="H27" s="8">
        <f>IFERROR(VLOOKUP(F27,Eingabe!$D$5:$E$44,2,FALSE),Eingabe!$B$9)</f>
        <v/>
      </c>
      <c r="I27" s="8">
        <f>H27-G27</f>
        <v/>
      </c>
    </row>
    <row r="28">
      <c r="A28" s="5">
        <f>TEXT(EDATE(Eingabe!$B$3,20),"yyyy-mm")</f>
        <v/>
      </c>
      <c r="B28" s="8">
        <f>SUMIFS(DailyPlan!$F$2:$F$1001,DailyPlan!$D$2:$D$1001,A28)</f>
        <v/>
      </c>
      <c r="C28" s="8">
        <f>Eingabe!$B$8</f>
        <v/>
      </c>
      <c r="D28" s="8">
        <f>C28-B28</f>
        <v/>
      </c>
      <c r="F28" s="5" t="n">
        <v>21</v>
      </c>
      <c r="G28" s="8">
        <f>SUMIFS(DailyPlan!$F$2:$F$1001,DailyPlan!$E$2:$E$1001,F28)</f>
        <v/>
      </c>
      <c r="H28" s="8">
        <f>IFERROR(VLOOKUP(F28,Eingabe!$D$5:$E$44,2,FALSE),Eingabe!$B$9)</f>
        <v/>
      </c>
      <c r="I28" s="8">
        <f>H28-G28</f>
        <v/>
      </c>
    </row>
    <row r="29">
      <c r="A29" s="5">
        <f>TEXT(EDATE(Eingabe!$B$3,21),"yyyy-mm")</f>
        <v/>
      </c>
      <c r="B29" s="8">
        <f>SUMIFS(DailyPlan!$F$2:$F$1001,DailyPlan!$D$2:$D$1001,A29)</f>
        <v/>
      </c>
      <c r="C29" s="8">
        <f>Eingabe!$B$8</f>
        <v/>
      </c>
      <c r="D29" s="8">
        <f>C29-B29</f>
        <v/>
      </c>
      <c r="F29" s="5" t="n">
        <v>22</v>
      </c>
      <c r="G29" s="8">
        <f>SUMIFS(DailyPlan!$F$2:$F$1001,DailyPlan!$E$2:$E$1001,F29)</f>
        <v/>
      </c>
      <c r="H29" s="8">
        <f>IFERROR(VLOOKUP(F29,Eingabe!$D$5:$E$44,2,FALSE),Eingabe!$B$9)</f>
        <v/>
      </c>
      <c r="I29" s="8">
        <f>H29-G29</f>
        <v/>
      </c>
    </row>
    <row r="30">
      <c r="A30" s="5">
        <f>TEXT(EDATE(Eingabe!$B$3,22),"yyyy-mm")</f>
        <v/>
      </c>
      <c r="B30" s="8">
        <f>SUMIFS(DailyPlan!$F$2:$F$1001,DailyPlan!$D$2:$D$1001,A30)</f>
        <v/>
      </c>
      <c r="C30" s="8">
        <f>Eingabe!$B$8</f>
        <v/>
      </c>
      <c r="D30" s="8">
        <f>C30-B30</f>
        <v/>
      </c>
      <c r="F30" s="5" t="n">
        <v>23</v>
      </c>
      <c r="G30" s="8">
        <f>SUMIFS(DailyPlan!$F$2:$F$1001,DailyPlan!$E$2:$E$1001,F30)</f>
        <v/>
      </c>
      <c r="H30" s="8">
        <f>IFERROR(VLOOKUP(F30,Eingabe!$D$5:$E$44,2,FALSE),Eingabe!$B$9)</f>
        <v/>
      </c>
      <c r="I30" s="8">
        <f>H30-G30</f>
        <v/>
      </c>
    </row>
    <row r="31">
      <c r="A31" s="5">
        <f>TEXT(EDATE(Eingabe!$B$3,23),"yyyy-mm")</f>
        <v/>
      </c>
      <c r="B31" s="8">
        <f>SUMIFS(DailyPlan!$F$2:$F$1001,DailyPlan!$D$2:$D$1001,A31)</f>
        <v/>
      </c>
      <c r="C31" s="8">
        <f>Eingabe!$B$8</f>
        <v/>
      </c>
      <c r="D31" s="8">
        <f>C31-B31</f>
        <v/>
      </c>
      <c r="F31" s="5" t="n">
        <v>24</v>
      </c>
      <c r="G31" s="8">
        <f>SUMIFS(DailyPlan!$F$2:$F$1001,DailyPlan!$E$2:$E$1001,F31)</f>
        <v/>
      </c>
      <c r="H31" s="8">
        <f>IFERROR(VLOOKUP(F31,Eingabe!$D$5:$E$44,2,FALSE),Eingabe!$B$9)</f>
        <v/>
      </c>
      <c r="I31" s="8">
        <f>H31-G31</f>
        <v/>
      </c>
    </row>
    <row r="32">
      <c r="F32" s="5" t="n">
        <v>25</v>
      </c>
      <c r="G32" s="8">
        <f>SUMIFS(DailyPlan!$F$2:$F$1001,DailyPlan!$E$2:$E$1001,F32)</f>
        <v/>
      </c>
      <c r="H32" s="8">
        <f>IFERROR(VLOOKUP(F32,Eingabe!$D$5:$E$44,2,FALSE),Eingabe!$B$9)</f>
        <v/>
      </c>
      <c r="I32" s="8">
        <f>H32-G32</f>
        <v/>
      </c>
    </row>
    <row r="33">
      <c r="F33" s="5" t="n">
        <v>26</v>
      </c>
      <c r="G33" s="8">
        <f>SUMIFS(DailyPlan!$F$2:$F$1001,DailyPlan!$E$2:$E$1001,F33)</f>
        <v/>
      </c>
      <c r="H33" s="8">
        <f>IFERROR(VLOOKUP(F33,Eingabe!$D$5:$E$44,2,FALSE),Eingabe!$B$9)</f>
        <v/>
      </c>
      <c r="I33" s="8">
        <f>H33-G33</f>
        <v/>
      </c>
    </row>
    <row r="34">
      <c r="F34" s="5" t="n">
        <v>27</v>
      </c>
      <c r="G34" s="8">
        <f>SUMIFS(DailyPlan!$F$2:$F$1001,DailyPlan!$E$2:$E$1001,F34)</f>
        <v/>
      </c>
      <c r="H34" s="8">
        <f>IFERROR(VLOOKUP(F34,Eingabe!$D$5:$E$44,2,FALSE),Eingabe!$B$9)</f>
        <v/>
      </c>
      <c r="I34" s="8">
        <f>H34-G34</f>
        <v/>
      </c>
    </row>
    <row r="35">
      <c r="F35" s="5" t="n">
        <v>28</v>
      </c>
      <c r="G35" s="8">
        <f>SUMIFS(DailyPlan!$F$2:$F$1001,DailyPlan!$E$2:$E$1001,F35)</f>
        <v/>
      </c>
      <c r="H35" s="8">
        <f>IFERROR(VLOOKUP(F35,Eingabe!$D$5:$E$44,2,FALSE),Eingabe!$B$9)</f>
        <v/>
      </c>
      <c r="I35" s="8">
        <f>H35-G35</f>
        <v/>
      </c>
    </row>
    <row r="36">
      <c r="F36" s="5" t="n">
        <v>29</v>
      </c>
      <c r="G36" s="8">
        <f>SUMIFS(DailyPlan!$F$2:$F$1001,DailyPlan!$E$2:$E$1001,F36)</f>
        <v/>
      </c>
      <c r="H36" s="8">
        <f>IFERROR(VLOOKUP(F36,Eingabe!$D$5:$E$44,2,FALSE),Eingabe!$B$9)</f>
        <v/>
      </c>
      <c r="I36" s="8">
        <f>H36-G36</f>
        <v/>
      </c>
    </row>
    <row r="37">
      <c r="F37" s="5" t="n">
        <v>30</v>
      </c>
      <c r="G37" s="8">
        <f>SUMIFS(DailyPlan!$F$2:$F$1001,DailyPlan!$E$2:$E$1001,F37)</f>
        <v/>
      </c>
      <c r="H37" s="8">
        <f>IFERROR(VLOOKUP(F37,Eingabe!$D$5:$E$44,2,FALSE),Eingabe!$B$9)</f>
        <v/>
      </c>
      <c r="I37" s="8">
        <f>H37-G37</f>
        <v/>
      </c>
    </row>
    <row r="38">
      <c r="F38" s="5" t="n">
        <v>31</v>
      </c>
      <c r="G38" s="8">
        <f>SUMIFS(DailyPlan!$F$2:$F$1001,DailyPlan!$E$2:$E$1001,F38)</f>
        <v/>
      </c>
      <c r="H38" s="8">
        <f>IFERROR(VLOOKUP(F38,Eingabe!$D$5:$E$44,2,FALSE),Eingabe!$B$9)</f>
        <v/>
      </c>
      <c r="I38" s="8">
        <f>H38-G38</f>
        <v/>
      </c>
    </row>
    <row r="39">
      <c r="F39" s="5" t="n">
        <v>32</v>
      </c>
      <c r="G39" s="8">
        <f>SUMIFS(DailyPlan!$F$2:$F$1001,DailyPlan!$E$2:$E$1001,F39)</f>
        <v/>
      </c>
      <c r="H39" s="8">
        <f>IFERROR(VLOOKUP(F39,Eingabe!$D$5:$E$44,2,FALSE),Eingabe!$B$9)</f>
        <v/>
      </c>
      <c r="I39" s="8">
        <f>H39-G39</f>
        <v/>
      </c>
    </row>
    <row r="40">
      <c r="F40" s="5" t="n">
        <v>33</v>
      </c>
      <c r="G40" s="8">
        <f>SUMIFS(DailyPlan!$F$2:$F$1001,DailyPlan!$E$2:$E$1001,F40)</f>
        <v/>
      </c>
      <c r="H40" s="8">
        <f>IFERROR(VLOOKUP(F40,Eingabe!$D$5:$E$44,2,FALSE),Eingabe!$B$9)</f>
        <v/>
      </c>
      <c r="I40" s="8">
        <f>H40-G40</f>
        <v/>
      </c>
    </row>
    <row r="41">
      <c r="F41" s="5" t="n">
        <v>34</v>
      </c>
      <c r="G41" s="8">
        <f>SUMIFS(DailyPlan!$F$2:$F$1001,DailyPlan!$E$2:$E$1001,F41)</f>
        <v/>
      </c>
      <c r="H41" s="8">
        <f>IFERROR(VLOOKUP(F41,Eingabe!$D$5:$E$44,2,FALSE),Eingabe!$B$9)</f>
        <v/>
      </c>
      <c r="I41" s="8">
        <f>H41-G41</f>
        <v/>
      </c>
    </row>
    <row r="42">
      <c r="F42" s="5" t="n">
        <v>35</v>
      </c>
      <c r="G42" s="8">
        <f>SUMIFS(DailyPlan!$F$2:$F$1001,DailyPlan!$E$2:$E$1001,F42)</f>
        <v/>
      </c>
      <c r="H42" s="8">
        <f>IFERROR(VLOOKUP(F42,Eingabe!$D$5:$E$44,2,FALSE),Eingabe!$B$9)</f>
        <v/>
      </c>
      <c r="I42" s="8">
        <f>H42-G42</f>
        <v/>
      </c>
    </row>
    <row r="43">
      <c r="F43" s="5" t="n">
        <v>36</v>
      </c>
      <c r="G43" s="8">
        <f>SUMIFS(DailyPlan!$F$2:$F$1001,DailyPlan!$E$2:$E$1001,F43)</f>
        <v/>
      </c>
      <c r="H43" s="8">
        <f>IFERROR(VLOOKUP(F43,Eingabe!$D$5:$E$44,2,FALSE),Eingabe!$B$9)</f>
        <v/>
      </c>
      <c r="I43" s="8">
        <f>H43-G43</f>
        <v/>
      </c>
    </row>
    <row r="44">
      <c r="F44" s="5" t="n">
        <v>37</v>
      </c>
      <c r="G44" s="8">
        <f>SUMIFS(DailyPlan!$F$2:$F$1001,DailyPlan!$E$2:$E$1001,F44)</f>
        <v/>
      </c>
      <c r="H44" s="8">
        <f>IFERROR(VLOOKUP(F44,Eingabe!$D$5:$E$44,2,FALSE),Eingabe!$B$9)</f>
        <v/>
      </c>
      <c r="I44" s="8">
        <f>H44-G44</f>
        <v/>
      </c>
    </row>
    <row r="45">
      <c r="F45" s="5" t="n">
        <v>38</v>
      </c>
      <c r="G45" s="8">
        <f>SUMIFS(DailyPlan!$F$2:$F$1001,DailyPlan!$E$2:$E$1001,F45)</f>
        <v/>
      </c>
      <c r="H45" s="8">
        <f>IFERROR(VLOOKUP(F45,Eingabe!$D$5:$E$44,2,FALSE),Eingabe!$B$9)</f>
        <v/>
      </c>
      <c r="I45" s="8">
        <f>H45-G45</f>
        <v/>
      </c>
    </row>
    <row r="46">
      <c r="F46" s="5" t="n">
        <v>39</v>
      </c>
      <c r="G46" s="8">
        <f>SUMIFS(DailyPlan!$F$2:$F$1001,DailyPlan!$E$2:$E$1001,F46)</f>
        <v/>
      </c>
      <c r="H46" s="8">
        <f>IFERROR(VLOOKUP(F46,Eingabe!$D$5:$E$44,2,FALSE),Eingabe!$B$9)</f>
        <v/>
      </c>
      <c r="I46" s="8">
        <f>H46-G46</f>
        <v/>
      </c>
    </row>
    <row r="47">
      <c r="F47" s="5" t="n">
        <v>40</v>
      </c>
      <c r="G47" s="8">
        <f>SUMIFS(DailyPlan!$F$2:$F$1001,DailyPlan!$E$2:$E$1001,F47)</f>
        <v/>
      </c>
      <c r="H47" s="8">
        <f>IFERROR(VLOOKUP(F47,Eingabe!$D$5:$E$44,2,FALSE),Eingabe!$B$9)</f>
        <v/>
      </c>
      <c r="I47" s="8">
        <f>H47-G47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2026-02-16T19:33:42Z</dcterms:created>
  <dcterms:modified xsi:type="dcterms:W3CDTF">2026-02-16T19:33:43Z</dcterms:modified>
</cp:coreProperties>
</file>